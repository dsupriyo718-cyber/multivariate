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9031ff8d318feb/Documents/"/>
    </mc:Choice>
  </mc:AlternateContent>
  <xr:revisionPtr revIDLastSave="0" documentId="8_{26770676-7CC1-4100-AD95-304F9741C761}" xr6:coauthVersionLast="47" xr6:coauthVersionMax="47" xr10:uidLastSave="{00000000-0000-0000-0000-000000000000}"/>
  <bookViews>
    <workbookView xWindow="-108" yWindow="-108" windowWidth="23256" windowHeight="12456" firstSheet="1" activeTab="1" xr2:uid="{BEE1E07D-F8F4-493E-81D7-B4FEB2762179}"/>
  </bookViews>
  <sheets>
    <sheet name="07" sheetId="1" r:id="rId1"/>
    <sheet name="01" sheetId="2" r:id="rId2"/>
    <sheet name="02" sheetId="3" r:id="rId3"/>
    <sheet name="sim_reprt" sheetId="10" r:id="rId4"/>
    <sheet name="simplex_practice" sheetId="9" r:id="rId5"/>
    <sheet name="report_03" sheetId="5" r:id="rId6"/>
    <sheet name="03" sheetId="4" r:id="rId7"/>
    <sheet name="06" sheetId="8" r:id="rId8"/>
    <sheet name="04" sheetId="6" r:id="rId9"/>
    <sheet name="05" sheetId="7" r:id="rId10"/>
  </sheets>
  <definedNames>
    <definedName name="solver_adj" localSheetId="2" hidden="1">'02'!$B$4:$C$4</definedName>
    <definedName name="solver_adj" localSheetId="6" hidden="1">'03'!$B$4:$D$4</definedName>
    <definedName name="solver_adj" localSheetId="8" hidden="1">'04'!$B$10:$D$12</definedName>
    <definedName name="solver_adj" localSheetId="9" hidden="1">'05'!$B$11:$E$13</definedName>
    <definedName name="solver_adj" localSheetId="7" hidden="1">'06'!$B$15:$F$20</definedName>
    <definedName name="solver_adj" localSheetId="4" hidden="1">simplex_practice!$B$3:$C$3</definedName>
    <definedName name="solver_cvg" localSheetId="2" hidden="1">0.0001</definedName>
    <definedName name="solver_cvg" localSheetId="6" hidden="1">0.0001</definedName>
    <definedName name="solver_cvg" localSheetId="8" hidden="1">0.0001</definedName>
    <definedName name="solver_cvg" localSheetId="9" hidden="1">0.0001</definedName>
    <definedName name="solver_cvg" localSheetId="7" hidden="1">0.0001</definedName>
    <definedName name="solver_cvg" localSheetId="4" hidden="1">0.0001</definedName>
    <definedName name="solver_drv" localSheetId="2" hidden="1">1</definedName>
    <definedName name="solver_drv" localSheetId="6" hidden="1">1</definedName>
    <definedName name="solver_drv" localSheetId="8" hidden="1">1</definedName>
    <definedName name="solver_drv" localSheetId="9" hidden="1">2</definedName>
    <definedName name="solver_drv" localSheetId="7" hidden="1">1</definedName>
    <definedName name="solver_drv" localSheetId="4" hidden="1">2</definedName>
    <definedName name="solver_eng" localSheetId="2" hidden="1">2</definedName>
    <definedName name="solver_eng" localSheetId="6" hidden="1">2</definedName>
    <definedName name="solver_eng" localSheetId="8" hidden="1">2</definedName>
    <definedName name="solver_eng" localSheetId="9" hidden="1">2</definedName>
    <definedName name="solver_eng" localSheetId="7" hidden="1">2</definedName>
    <definedName name="solver_eng" localSheetId="4" hidden="1">2</definedName>
    <definedName name="solver_est" localSheetId="2" hidden="1">1</definedName>
    <definedName name="solver_est" localSheetId="6" hidden="1">1</definedName>
    <definedName name="solver_est" localSheetId="8" hidden="1">1</definedName>
    <definedName name="solver_est" localSheetId="9" hidden="1">1</definedName>
    <definedName name="solver_est" localSheetId="7" hidden="1">1</definedName>
    <definedName name="solver_est" localSheetId="4" hidden="1">1</definedName>
    <definedName name="solver_itr" localSheetId="2" hidden="1">2147483647</definedName>
    <definedName name="solver_itr" localSheetId="6" hidden="1">2147483647</definedName>
    <definedName name="solver_itr" localSheetId="8" hidden="1">2147483647</definedName>
    <definedName name="solver_itr" localSheetId="9" hidden="1">2147483647</definedName>
    <definedName name="solver_itr" localSheetId="7" hidden="1">2147483647</definedName>
    <definedName name="solver_itr" localSheetId="4" hidden="1">2147483647</definedName>
    <definedName name="solver_lhs1" localSheetId="2" hidden="1">'02'!$D$10</definedName>
    <definedName name="solver_lhs1" localSheetId="6" hidden="1">'03'!$E$10</definedName>
    <definedName name="solver_lhs1" localSheetId="8" hidden="1">'04'!$B$13:$D$13</definedName>
    <definedName name="solver_lhs1" localSheetId="9" hidden="1">'05'!$B$14:$E$14</definedName>
    <definedName name="solver_lhs1" localSheetId="7" hidden="1">'06'!$B$21:$F$21</definedName>
    <definedName name="solver_lhs1" localSheetId="4" hidden="1">simplex_practice!$D$10</definedName>
    <definedName name="solver_lhs2" localSheetId="2" hidden="1">'02'!$D$11</definedName>
    <definedName name="solver_lhs2" localSheetId="6" hidden="1">'03'!$E$11</definedName>
    <definedName name="solver_lhs2" localSheetId="8" hidden="1">'04'!$E$10:$E$12</definedName>
    <definedName name="solver_lhs2" localSheetId="9" hidden="1">'05'!$F$11:$F$13</definedName>
    <definedName name="solver_lhs2" localSheetId="7" hidden="1">'06'!$G$15:$G$20</definedName>
    <definedName name="solver_lhs2" localSheetId="4" hidden="1">simplex_practice!$D$9</definedName>
    <definedName name="solver_lhs3" localSheetId="6" hidden="1">'03'!$E$12</definedName>
    <definedName name="solver_mip" localSheetId="2" hidden="1">2147483647</definedName>
    <definedName name="solver_mip" localSheetId="6" hidden="1">2147483647</definedName>
    <definedName name="solver_mip" localSheetId="8" hidden="1">2147483647</definedName>
    <definedName name="solver_mip" localSheetId="9" hidden="1">2147483647</definedName>
    <definedName name="solver_mip" localSheetId="7" hidden="1">2147483647</definedName>
    <definedName name="solver_mip" localSheetId="4" hidden="1">2147483647</definedName>
    <definedName name="solver_mni" localSheetId="2" hidden="1">30</definedName>
    <definedName name="solver_mni" localSheetId="6" hidden="1">30</definedName>
    <definedName name="solver_mni" localSheetId="8" hidden="1">30</definedName>
    <definedName name="solver_mni" localSheetId="9" hidden="1">30</definedName>
    <definedName name="solver_mni" localSheetId="7" hidden="1">30</definedName>
    <definedName name="solver_mni" localSheetId="4" hidden="1">30</definedName>
    <definedName name="solver_mrt" localSheetId="2" hidden="1">0.075</definedName>
    <definedName name="solver_mrt" localSheetId="6" hidden="1">0.075</definedName>
    <definedName name="solver_mrt" localSheetId="8" hidden="1">0.075</definedName>
    <definedName name="solver_mrt" localSheetId="9" hidden="1">0.075</definedName>
    <definedName name="solver_mrt" localSheetId="7" hidden="1">0.075</definedName>
    <definedName name="solver_mrt" localSheetId="4" hidden="1">0.075</definedName>
    <definedName name="solver_msl" localSheetId="2" hidden="1">2</definedName>
    <definedName name="solver_msl" localSheetId="6" hidden="1">2</definedName>
    <definedName name="solver_msl" localSheetId="8" hidden="1">2</definedName>
    <definedName name="solver_msl" localSheetId="9" hidden="1">2</definedName>
    <definedName name="solver_msl" localSheetId="7" hidden="1">2</definedName>
    <definedName name="solver_msl" localSheetId="4" hidden="1">2</definedName>
    <definedName name="solver_neg" localSheetId="2" hidden="1">1</definedName>
    <definedName name="solver_neg" localSheetId="6" hidden="1">1</definedName>
    <definedName name="solver_neg" localSheetId="8" hidden="1">1</definedName>
    <definedName name="solver_neg" localSheetId="9" hidden="1">1</definedName>
    <definedName name="solver_neg" localSheetId="7" hidden="1">1</definedName>
    <definedName name="solver_neg" localSheetId="4" hidden="1">1</definedName>
    <definedName name="solver_nod" localSheetId="2" hidden="1">2147483647</definedName>
    <definedName name="solver_nod" localSheetId="6" hidden="1">2147483647</definedName>
    <definedName name="solver_nod" localSheetId="8" hidden="1">2147483647</definedName>
    <definedName name="solver_nod" localSheetId="9" hidden="1">2147483647</definedName>
    <definedName name="solver_nod" localSheetId="7" hidden="1">2147483647</definedName>
    <definedName name="solver_nod" localSheetId="4" hidden="1">2147483647</definedName>
    <definedName name="solver_num" localSheetId="2" hidden="1">2</definedName>
    <definedName name="solver_num" localSheetId="6" hidden="1">3</definedName>
    <definedName name="solver_num" localSheetId="8" hidden="1">2</definedName>
    <definedName name="solver_num" localSheetId="9" hidden="1">2</definedName>
    <definedName name="solver_num" localSheetId="7" hidden="1">2</definedName>
    <definedName name="solver_num" localSheetId="4" hidden="1">2</definedName>
    <definedName name="solver_nwt" localSheetId="2" hidden="1">1</definedName>
    <definedName name="solver_nwt" localSheetId="6" hidden="1">1</definedName>
    <definedName name="solver_nwt" localSheetId="8" hidden="1">1</definedName>
    <definedName name="solver_nwt" localSheetId="9" hidden="1">1</definedName>
    <definedName name="solver_nwt" localSheetId="7" hidden="1">1</definedName>
    <definedName name="solver_nwt" localSheetId="4" hidden="1">1</definedName>
    <definedName name="solver_opt" localSheetId="2" hidden="1">'02'!$B$7</definedName>
    <definedName name="solver_opt" localSheetId="6" hidden="1">'03'!$B$7</definedName>
    <definedName name="solver_opt" localSheetId="8" hidden="1">'04'!$H$10</definedName>
    <definedName name="solver_opt" localSheetId="9" hidden="1">'05'!$K$10</definedName>
    <definedName name="solver_opt" localSheetId="7" hidden="1">'06'!$K$14</definedName>
    <definedName name="solver_opt" localSheetId="4" hidden="1">simplex_practice!$B$6</definedName>
    <definedName name="solver_pre" localSheetId="2" hidden="1">0.000001</definedName>
    <definedName name="solver_pre" localSheetId="6" hidden="1">0.000001</definedName>
    <definedName name="solver_pre" localSheetId="8" hidden="1">0.000001</definedName>
    <definedName name="solver_pre" localSheetId="9" hidden="1">0.000001</definedName>
    <definedName name="solver_pre" localSheetId="7" hidden="1">0.000001</definedName>
    <definedName name="solver_pre" localSheetId="4" hidden="1">0.000001</definedName>
    <definedName name="solver_rbv" localSheetId="2" hidden="1">1</definedName>
    <definedName name="solver_rbv" localSheetId="6" hidden="1">1</definedName>
    <definedName name="solver_rbv" localSheetId="8" hidden="1">1</definedName>
    <definedName name="solver_rbv" localSheetId="9" hidden="1">2</definedName>
    <definedName name="solver_rbv" localSheetId="7" hidden="1">1</definedName>
    <definedName name="solver_rbv" localSheetId="4" hidden="1">2</definedName>
    <definedName name="solver_rel1" localSheetId="2" hidden="1">1</definedName>
    <definedName name="solver_rel1" localSheetId="6" hidden="1">1</definedName>
    <definedName name="solver_rel1" localSheetId="8" hidden="1">2</definedName>
    <definedName name="solver_rel1" localSheetId="9" hidden="1">2</definedName>
    <definedName name="solver_rel1" localSheetId="7" hidden="1">2</definedName>
    <definedName name="solver_rel1" localSheetId="4" hidden="1">1</definedName>
    <definedName name="solver_rel2" localSheetId="2" hidden="1">1</definedName>
    <definedName name="solver_rel2" localSheetId="6" hidden="1">1</definedName>
    <definedName name="solver_rel2" localSheetId="8" hidden="1">2</definedName>
    <definedName name="solver_rel2" localSheetId="9" hidden="1">2</definedName>
    <definedName name="solver_rel2" localSheetId="7" hidden="1">2</definedName>
    <definedName name="solver_rel2" localSheetId="4" hidden="1">1</definedName>
    <definedName name="solver_rel3" localSheetId="6" hidden="1">1</definedName>
    <definedName name="solver_rhs1" localSheetId="2" hidden="1">'02'!$F$10</definedName>
    <definedName name="solver_rhs1" localSheetId="6" hidden="1">'03'!$G$10</definedName>
    <definedName name="solver_rhs1" localSheetId="8" hidden="1">'04'!$B$7:$D$7</definedName>
    <definedName name="solver_rhs1" localSheetId="9" hidden="1">'05'!$B$7:$E$7</definedName>
    <definedName name="solver_rhs1" localSheetId="7" hidden="1">'06'!$B$9:$F$9</definedName>
    <definedName name="solver_rhs1" localSheetId="4" hidden="1">simplex_practice!$F$10</definedName>
    <definedName name="solver_rhs2" localSheetId="2" hidden="1">'02'!$F$11</definedName>
    <definedName name="solver_rhs2" localSheetId="6" hidden="1">'03'!$G$11</definedName>
    <definedName name="solver_rhs2" localSheetId="8" hidden="1">'04'!$E$4:$E$6</definedName>
    <definedName name="solver_rhs2" localSheetId="9" hidden="1">'05'!$F$4:$F$6</definedName>
    <definedName name="solver_rhs2" localSheetId="7" hidden="1">'06'!$G$3:$G$8</definedName>
    <definedName name="solver_rhs2" localSheetId="4" hidden="1">simplex_practice!$F$9</definedName>
    <definedName name="solver_rhs3" localSheetId="6" hidden="1">'03'!$G$12</definedName>
    <definedName name="solver_rlx" localSheetId="2" hidden="1">2</definedName>
    <definedName name="solver_rlx" localSheetId="6" hidden="1">2</definedName>
    <definedName name="solver_rlx" localSheetId="8" hidden="1">2</definedName>
    <definedName name="solver_rlx" localSheetId="9" hidden="1">2</definedName>
    <definedName name="solver_rlx" localSheetId="7" hidden="1">2</definedName>
    <definedName name="solver_rlx" localSheetId="4" hidden="1">2</definedName>
    <definedName name="solver_rsd" localSheetId="2" hidden="1">0</definedName>
    <definedName name="solver_rsd" localSheetId="6" hidden="1">0</definedName>
    <definedName name="solver_rsd" localSheetId="8" hidden="1">0</definedName>
    <definedName name="solver_rsd" localSheetId="9" hidden="1">0</definedName>
    <definedName name="solver_rsd" localSheetId="7" hidden="1">0</definedName>
    <definedName name="solver_rsd" localSheetId="4" hidden="1">0</definedName>
    <definedName name="solver_scl" localSheetId="2" hidden="1">1</definedName>
    <definedName name="solver_scl" localSheetId="6" hidden="1">1</definedName>
    <definedName name="solver_scl" localSheetId="8" hidden="1">1</definedName>
    <definedName name="solver_scl" localSheetId="9" hidden="1">2</definedName>
    <definedName name="solver_scl" localSheetId="7" hidden="1">1</definedName>
    <definedName name="solver_scl" localSheetId="4" hidden="1">2</definedName>
    <definedName name="solver_sho" localSheetId="2" hidden="1">2</definedName>
    <definedName name="solver_sho" localSheetId="6" hidden="1">2</definedName>
    <definedName name="solver_sho" localSheetId="8" hidden="1">2</definedName>
    <definedName name="solver_sho" localSheetId="9" hidden="1">2</definedName>
    <definedName name="solver_sho" localSheetId="7" hidden="1">2</definedName>
    <definedName name="solver_sho" localSheetId="4" hidden="1">2</definedName>
    <definedName name="solver_ssz" localSheetId="2" hidden="1">100</definedName>
    <definedName name="solver_ssz" localSheetId="6" hidden="1">100</definedName>
    <definedName name="solver_ssz" localSheetId="8" hidden="1">100</definedName>
    <definedName name="solver_ssz" localSheetId="9" hidden="1">100</definedName>
    <definedName name="solver_ssz" localSheetId="7" hidden="1">100</definedName>
    <definedName name="solver_ssz" localSheetId="4" hidden="1">100</definedName>
    <definedName name="solver_tim" localSheetId="2" hidden="1">2147483647</definedName>
    <definedName name="solver_tim" localSheetId="6" hidden="1">2147483647</definedName>
    <definedName name="solver_tim" localSheetId="8" hidden="1">2147483647</definedName>
    <definedName name="solver_tim" localSheetId="9" hidden="1">2147483647</definedName>
    <definedName name="solver_tim" localSheetId="7" hidden="1">2147483647</definedName>
    <definedName name="solver_tim" localSheetId="4" hidden="1">2147483647</definedName>
    <definedName name="solver_tol" localSheetId="2" hidden="1">0.01</definedName>
    <definedName name="solver_tol" localSheetId="6" hidden="1">0.01</definedName>
    <definedName name="solver_tol" localSheetId="8" hidden="1">0.01</definedName>
    <definedName name="solver_tol" localSheetId="9" hidden="1">0.01</definedName>
    <definedName name="solver_tol" localSheetId="7" hidden="1">0.01</definedName>
    <definedName name="solver_tol" localSheetId="4" hidden="1">0.01</definedName>
    <definedName name="solver_typ" localSheetId="2" hidden="1">1</definedName>
    <definedName name="solver_typ" localSheetId="6" hidden="1">1</definedName>
    <definedName name="solver_typ" localSheetId="8" hidden="1">2</definedName>
    <definedName name="solver_typ" localSheetId="9" hidden="1">2</definedName>
    <definedName name="solver_typ" localSheetId="7" hidden="1">2</definedName>
    <definedName name="solver_typ" localSheetId="4" hidden="1">1</definedName>
    <definedName name="solver_val" localSheetId="2" hidden="1">0</definedName>
    <definedName name="solver_val" localSheetId="6" hidden="1">0</definedName>
    <definedName name="solver_val" localSheetId="8" hidden="1">0</definedName>
    <definedName name="solver_val" localSheetId="9" hidden="1">0</definedName>
    <definedName name="solver_val" localSheetId="7" hidden="1">0</definedName>
    <definedName name="solver_val" localSheetId="4" hidden="1">0</definedName>
    <definedName name="solver_ver" localSheetId="2" hidden="1">3</definedName>
    <definedName name="solver_ver" localSheetId="6" hidden="1">3</definedName>
    <definedName name="solver_ver" localSheetId="8" hidden="1">3</definedName>
    <definedName name="solver_ver" localSheetId="9" hidden="1">3</definedName>
    <definedName name="solver_ver" localSheetId="7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9" l="1"/>
  <c r="D9" i="9"/>
  <c r="B6" i="9"/>
  <c r="K14" i="8"/>
  <c r="C21" i="8"/>
  <c r="D21" i="8"/>
  <c r="E21" i="8"/>
  <c r="F21" i="8"/>
  <c r="B21" i="8"/>
  <c r="G16" i="8"/>
  <c r="G17" i="8"/>
  <c r="G18" i="8"/>
  <c r="G19" i="8"/>
  <c r="G20" i="8"/>
  <c r="G15" i="8"/>
  <c r="K10" i="7"/>
  <c r="C14" i="7"/>
  <c r="D14" i="7"/>
  <c r="E14" i="7"/>
  <c r="B14" i="7"/>
  <c r="F12" i="7"/>
  <c r="F13" i="7"/>
  <c r="F11" i="7"/>
  <c r="C13" i="6"/>
  <c r="D13" i="6"/>
  <c r="B13" i="6"/>
  <c r="E11" i="6"/>
  <c r="E12" i="6"/>
  <c r="E10" i="6"/>
  <c r="H10" i="6"/>
  <c r="E12" i="4"/>
  <c r="E11" i="4"/>
  <c r="E10" i="4"/>
  <c r="B7" i="4"/>
  <c r="D11" i="3"/>
  <c r="D10" i="3"/>
  <c r="B7" i="3"/>
  <c r="G6" i="2"/>
  <c r="G7" i="2"/>
  <c r="G8" i="2"/>
  <c r="G5" i="2"/>
  <c r="M5" i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J4" i="1"/>
  <c r="J5" i="1"/>
  <c r="J6" i="1"/>
  <c r="J7" i="1"/>
  <c r="J8" i="1"/>
  <c r="J9" i="1"/>
  <c r="J10" i="1"/>
  <c r="J11" i="1"/>
  <c r="J12" i="1"/>
  <c r="J13" i="1"/>
  <c r="W8" i="1"/>
  <c r="W7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<sst xmlns="http://schemas.openxmlformats.org/spreadsheetml/2006/main" count="217" uniqueCount="121">
  <si>
    <t>Sample</t>
  </si>
  <si>
    <t>Observation</t>
  </si>
  <si>
    <t>mean</t>
  </si>
  <si>
    <t>range</t>
  </si>
  <si>
    <t>X_double_bar</t>
  </si>
  <si>
    <t>R_bar</t>
  </si>
  <si>
    <t>UCLx</t>
  </si>
  <si>
    <t>LCLx</t>
  </si>
  <si>
    <t>UCLr</t>
  </si>
  <si>
    <t>LCLr</t>
  </si>
  <si>
    <t>points</t>
  </si>
  <si>
    <t>A</t>
  </si>
  <si>
    <t>B</t>
  </si>
  <si>
    <t>c</t>
  </si>
  <si>
    <t>C</t>
  </si>
  <si>
    <t>D</t>
  </si>
  <si>
    <t>x1</t>
  </si>
  <si>
    <t>x2</t>
  </si>
  <si>
    <t>Z=12x1+16x2</t>
  </si>
  <si>
    <t>This is the highest value so (8,2) is the solution</t>
  </si>
  <si>
    <t>Variable</t>
  </si>
  <si>
    <t>X</t>
  </si>
  <si>
    <t>Y</t>
  </si>
  <si>
    <t>Quantity</t>
  </si>
  <si>
    <t>coefficient(profit)</t>
  </si>
  <si>
    <t>Z(objective)</t>
  </si>
  <si>
    <t>Constraint</t>
  </si>
  <si>
    <t>X coeff</t>
  </si>
  <si>
    <t>Y coeff</t>
  </si>
  <si>
    <t>LHS</t>
  </si>
  <si>
    <t>Sign</t>
  </si>
  <si>
    <t>RHS</t>
  </si>
  <si>
    <t>&lt;=</t>
  </si>
  <si>
    <t>Constraint 1</t>
  </si>
  <si>
    <t>Constraint 2</t>
  </si>
  <si>
    <t>variable</t>
  </si>
  <si>
    <t>Qunatity</t>
  </si>
  <si>
    <t>Coeficient</t>
  </si>
  <si>
    <t>x3</t>
  </si>
  <si>
    <t>Z (objective)</t>
  </si>
  <si>
    <t>Constraints</t>
  </si>
  <si>
    <t>x1 coef</t>
  </si>
  <si>
    <t>x2 coef</t>
  </si>
  <si>
    <t>x3 coef</t>
  </si>
  <si>
    <t>sign</t>
  </si>
  <si>
    <t>constraint 1</t>
  </si>
  <si>
    <t>constraint 2</t>
  </si>
  <si>
    <t>constraint 3</t>
  </si>
  <si>
    <t>Microsoft Excel 16.0 Sensitivity Report</t>
  </si>
  <si>
    <t>Worksheet: [405_survive.xlsx]03</t>
  </si>
  <si>
    <t>Report Created: 9/16/2026 10:29:32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</si>
  <si>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</si>
  <si>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</si>
  <si>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</si>
  <si>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</si>
  <si>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</si>
  <si>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</si>
  <si>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</si>
  <si>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</si>
  <si>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</si>
  <si>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</si>
  <si>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</si>
  <si>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</si>
  <si>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</si>
  <si>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</si>
  <si>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R.H. Side</t>
  </si>
  <si>
    <t>$B$4</t>
  </si>
  <si>
    <t>Qunatity x1</t>
  </si>
  <si>
    <t>$C$4</t>
  </si>
  <si>
    <t>Qunatity x2</t>
  </si>
  <si>
    <t>$D$4</t>
  </si>
  <si>
    <t>Qunatity x3</t>
  </si>
  <si>
    <t>$E$10</t>
  </si>
  <si>
    <t>constraint 1 LHS</t>
  </si>
  <si>
    <t>$E$11</t>
  </si>
  <si>
    <t>constraint 2 LHS</t>
  </si>
  <si>
    <t>$E$12</t>
  </si>
  <si>
    <t>constraint 3 LHS</t>
  </si>
  <si>
    <t>Q4: transportation Problem(VAM/solver)</t>
  </si>
  <si>
    <t>E</t>
  </si>
  <si>
    <t>F</t>
  </si>
  <si>
    <t>Supply</t>
  </si>
  <si>
    <t>Demand</t>
  </si>
  <si>
    <t>Total cost</t>
  </si>
  <si>
    <t>Q5: Transportation problem</t>
  </si>
  <si>
    <t>p</t>
  </si>
  <si>
    <t>q</t>
  </si>
  <si>
    <t>r</t>
  </si>
  <si>
    <t>s</t>
  </si>
  <si>
    <t>a</t>
  </si>
  <si>
    <t>b</t>
  </si>
  <si>
    <t>total</t>
  </si>
  <si>
    <t>Factories</t>
  </si>
  <si>
    <t>Warehouse</t>
  </si>
  <si>
    <t>W1</t>
  </si>
  <si>
    <t>w2</t>
  </si>
  <si>
    <t>W3</t>
  </si>
  <si>
    <t>W4</t>
  </si>
  <si>
    <t>W5</t>
  </si>
  <si>
    <t>F1</t>
  </si>
  <si>
    <t>F2</t>
  </si>
  <si>
    <t>F3</t>
  </si>
  <si>
    <t>F4</t>
  </si>
  <si>
    <t>F5</t>
  </si>
  <si>
    <t>F6</t>
  </si>
  <si>
    <t>quantity</t>
  </si>
  <si>
    <t>coefficient</t>
  </si>
  <si>
    <t>z(objective)</t>
  </si>
  <si>
    <t>constraint</t>
  </si>
  <si>
    <t>cons 1</t>
  </si>
  <si>
    <t>cons 2</t>
  </si>
  <si>
    <t>Worksheet: [405_survive.xlsx]simplex_practice</t>
  </si>
  <si>
    <t>Report Created: 9/16/2026 11:57:06 PM</t>
  </si>
  <si>
    <t>$B$3</t>
  </si>
  <si>
    <t>quantity x1</t>
  </si>
  <si>
    <t>$C$3</t>
  </si>
  <si>
    <t>quantity x2</t>
  </si>
  <si>
    <t>$D$10</t>
  </si>
  <si>
    <t>cons 2 LHS</t>
  </si>
  <si>
    <t>$D$9</t>
  </si>
  <si>
    <t>cons 1 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</si>
</sst>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10" xfId="0" applyFill="1" applyBorder="1" applyAlignment="1"/>
    <xf numFmtId="0" fontId="0" fillId="0" borderId="11" xfId="0" applyFill="1" applyBorder="1" applyAlignment="1"/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CA94-17F3-4B5D-8B63-36B3D3E0E53C}">
  <dimension ref="B1:W13"/>
  <sheetViews>
    <sheetView workbookViewId="0">
      <selection activeCell="P7" sqref="P7"/>
    </sheetView>
  </sheetViews>
  <sheetFormatPr defaultRowHeight="14.4" x14ac:dyDescent="0.3"/>
  <cols>
    <col min="2" max="2" width="10.109375" bestFit="1" customWidth="1"/>
    <col min="3" max="7" width="4.33203125" bestFit="1" customWidth="1"/>
  </cols>
  <sheetData>
    <row r="1" spans="2:23" ht="15" thickBot="1" x14ac:dyDescent="0.35"/>
    <row r="2" spans="2:23" ht="21.6" thickBot="1" x14ac:dyDescent="0.35">
      <c r="B2" s="3" t="s">
        <v>0</v>
      </c>
      <c r="C2" s="6" t="s">
        <v>1</v>
      </c>
      <c r="D2" s="5"/>
      <c r="E2" s="5"/>
      <c r="F2" s="5"/>
      <c r="G2" s="7"/>
    </row>
    <row r="3" spans="2:23" ht="21.6" thickBot="1" x14ac:dyDescent="0.35">
      <c r="B3" s="4"/>
      <c r="C3" s="1">
        <v>1</v>
      </c>
      <c r="D3" s="1">
        <v>2</v>
      </c>
      <c r="E3" s="1">
        <v>3</v>
      </c>
      <c r="F3" s="1">
        <v>4</v>
      </c>
      <c r="G3" s="1">
        <v>5</v>
      </c>
      <c r="H3" t="s">
        <v>2</v>
      </c>
      <c r="I3" t="s">
        <v>3</v>
      </c>
      <c r="J3" t="s">
        <v>6</v>
      </c>
      <c r="K3" t="s">
        <v>7</v>
      </c>
      <c r="L3" t="s">
        <v>8</v>
      </c>
      <c r="M3" t="s">
        <v>9</v>
      </c>
    </row>
    <row r="4" spans="2:23" ht="21.6" thickBot="1" x14ac:dyDescent="0.35">
      <c r="B4" s="2">
        <v>1</v>
      </c>
      <c r="C4" s="1">
        <v>55</v>
      </c>
      <c r="D4" s="1">
        <v>48</v>
      </c>
      <c r="E4" s="1">
        <v>43</v>
      </c>
      <c r="F4" s="1">
        <v>60</v>
      </c>
      <c r="G4" s="1">
        <v>58</v>
      </c>
      <c r="H4">
        <f>AVERAGE(C4:G4)</f>
        <v>52.8</v>
      </c>
      <c r="I4">
        <f>MAX(C4:G4)-MIN(C4:G4)</f>
        <v>17</v>
      </c>
      <c r="J4">
        <f>W$7+0.577*W$8</f>
        <v>81.10560000000001</v>
      </c>
      <c r="K4">
        <f>W$7-0.577*W$8</f>
        <v>43.254400000000011</v>
      </c>
      <c r="L4">
        <f>0*W$8</f>
        <v>0</v>
      </c>
      <c r="M4">
        <f>2.114*W$8</f>
        <v>69.339199999999991</v>
      </c>
    </row>
    <row r="5" spans="2:23" ht="21.6" thickBot="1" x14ac:dyDescent="0.35">
      <c r="B5" s="2">
        <v>2</v>
      </c>
      <c r="C5" s="1">
        <v>60</v>
      </c>
      <c r="D5" s="1">
        <v>67</v>
      </c>
      <c r="E5" s="1">
        <v>45</v>
      </c>
      <c r="F5" s="1">
        <v>54</v>
      </c>
      <c r="G5" s="1">
        <v>66</v>
      </c>
      <c r="H5">
        <f t="shared" ref="H5:H13" si="0">AVERAGE(C5:G5)</f>
        <v>58.4</v>
      </c>
      <c r="I5">
        <f t="shared" ref="I5:I13" si="1">MAX(C5:G5)-MIN(C5:G5)</f>
        <v>22</v>
      </c>
      <c r="J5">
        <f t="shared" ref="J5:J13" si="2">W$7+0.577*W$8</f>
        <v>81.10560000000001</v>
      </c>
      <c r="K5">
        <f t="shared" ref="K5:K13" si="3">W$7-0.577*W$8</f>
        <v>43.254400000000011</v>
      </c>
      <c r="L5">
        <f t="shared" ref="L5:L13" si="4">0*W$8</f>
        <v>0</v>
      </c>
      <c r="M5">
        <f t="shared" ref="M5:M13" si="5">2.114*W$8</f>
        <v>69.339199999999991</v>
      </c>
    </row>
    <row r="6" spans="2:23" ht="21.6" thickBot="1" x14ac:dyDescent="0.35">
      <c r="B6" s="2">
        <v>3</v>
      </c>
      <c r="C6" s="1">
        <v>50</v>
      </c>
      <c r="D6" s="1">
        <v>67</v>
      </c>
      <c r="E6" s="1">
        <v>72</v>
      </c>
      <c r="F6" s="1">
        <v>40</v>
      </c>
      <c r="G6" s="1">
        <v>78</v>
      </c>
      <c r="H6">
        <f t="shared" si="0"/>
        <v>61.4</v>
      </c>
      <c r="I6">
        <f t="shared" si="1"/>
        <v>38</v>
      </c>
      <c r="J6">
        <f t="shared" si="2"/>
        <v>81.10560000000001</v>
      </c>
      <c r="K6">
        <f t="shared" si="3"/>
        <v>43.254400000000011</v>
      </c>
      <c r="L6">
        <f t="shared" si="4"/>
        <v>0</v>
      </c>
      <c r="M6">
        <f t="shared" si="5"/>
        <v>69.339199999999991</v>
      </c>
    </row>
    <row r="7" spans="2:23" ht="21.6" thickBot="1" x14ac:dyDescent="0.35">
      <c r="B7" s="2">
        <v>4</v>
      </c>
      <c r="C7" s="1">
        <v>65</v>
      </c>
      <c r="D7" s="1">
        <v>78</v>
      </c>
      <c r="E7" s="1">
        <v>83</v>
      </c>
      <c r="F7" s="1">
        <v>89</v>
      </c>
      <c r="G7" s="1">
        <v>60</v>
      </c>
      <c r="H7">
        <f t="shared" si="0"/>
        <v>75</v>
      </c>
      <c r="I7">
        <f t="shared" si="1"/>
        <v>29</v>
      </c>
      <c r="J7">
        <f t="shared" si="2"/>
        <v>81.10560000000001</v>
      </c>
      <c r="K7">
        <f t="shared" si="3"/>
        <v>43.254400000000011</v>
      </c>
      <c r="L7">
        <f t="shared" si="4"/>
        <v>0</v>
      </c>
      <c r="M7">
        <f t="shared" si="5"/>
        <v>69.339199999999991</v>
      </c>
      <c r="V7" t="s">
        <v>4</v>
      </c>
      <c r="W7">
        <f>AVERAGE(H4:H13)</f>
        <v>62.180000000000007</v>
      </c>
    </row>
    <row r="8" spans="2:23" ht="21.6" thickBot="1" x14ac:dyDescent="0.35">
      <c r="B8" s="2">
        <v>5</v>
      </c>
      <c r="C8" s="1">
        <v>67</v>
      </c>
      <c r="D8" s="1">
        <v>45</v>
      </c>
      <c r="E8" s="1">
        <v>38</v>
      </c>
      <c r="F8" s="1">
        <v>39</v>
      </c>
      <c r="G8" s="1">
        <v>70</v>
      </c>
      <c r="H8">
        <f t="shared" si="0"/>
        <v>51.8</v>
      </c>
      <c r="I8">
        <f t="shared" si="1"/>
        <v>32</v>
      </c>
      <c r="J8">
        <f t="shared" si="2"/>
        <v>81.10560000000001</v>
      </c>
      <c r="K8">
        <f t="shared" si="3"/>
        <v>43.254400000000011</v>
      </c>
      <c r="L8">
        <f t="shared" si="4"/>
        <v>0</v>
      </c>
      <c r="M8">
        <f t="shared" si="5"/>
        <v>69.339199999999991</v>
      </c>
      <c r="V8" t="s">
        <v>5</v>
      </c>
      <c r="W8">
        <f>AVERAGE(I4:I13)</f>
        <v>32.799999999999997</v>
      </c>
    </row>
    <row r="9" spans="2:23" ht="21.6" thickBot="1" x14ac:dyDescent="0.35">
      <c r="B9" s="2">
        <v>6</v>
      </c>
      <c r="C9" s="1">
        <v>45</v>
      </c>
      <c r="D9" s="1">
        <v>29</v>
      </c>
      <c r="E9" s="1">
        <v>33</v>
      </c>
      <c r="F9" s="1">
        <v>67</v>
      </c>
      <c r="G9" s="1">
        <v>80</v>
      </c>
      <c r="H9">
        <f t="shared" si="0"/>
        <v>50.8</v>
      </c>
      <c r="I9">
        <f t="shared" si="1"/>
        <v>51</v>
      </c>
      <c r="J9">
        <f t="shared" si="2"/>
        <v>81.10560000000001</v>
      </c>
      <c r="K9">
        <f t="shared" si="3"/>
        <v>43.254400000000011</v>
      </c>
      <c r="L9">
        <f t="shared" si="4"/>
        <v>0</v>
      </c>
      <c r="M9">
        <f t="shared" si="5"/>
        <v>69.339199999999991</v>
      </c>
    </row>
    <row r="10" spans="2:23" ht="21.6" thickBot="1" x14ac:dyDescent="0.35">
      <c r="B10" s="2">
        <v>7</v>
      </c>
      <c r="C10" s="1">
        <v>78</v>
      </c>
      <c r="D10" s="1">
        <v>76</v>
      </c>
      <c r="E10" s="1">
        <v>40</v>
      </c>
      <c r="F10" s="1">
        <v>30</v>
      </c>
      <c r="G10" s="1">
        <v>80</v>
      </c>
      <c r="H10">
        <f t="shared" si="0"/>
        <v>60.8</v>
      </c>
      <c r="I10">
        <f t="shared" si="1"/>
        <v>50</v>
      </c>
      <c r="J10">
        <f t="shared" si="2"/>
        <v>81.10560000000001</v>
      </c>
      <c r="K10">
        <f t="shared" si="3"/>
        <v>43.254400000000011</v>
      </c>
      <c r="L10">
        <f t="shared" si="4"/>
        <v>0</v>
      </c>
      <c r="M10">
        <f t="shared" si="5"/>
        <v>69.339199999999991</v>
      </c>
    </row>
    <row r="11" spans="2:23" ht="21.6" thickBot="1" x14ac:dyDescent="0.35">
      <c r="B11" s="2">
        <v>8</v>
      </c>
      <c r="C11" s="1">
        <v>69</v>
      </c>
      <c r="D11" s="1">
        <v>80</v>
      </c>
      <c r="E11" s="1">
        <v>60</v>
      </c>
      <c r="F11" s="1">
        <v>65</v>
      </c>
      <c r="G11" s="1">
        <v>89</v>
      </c>
      <c r="H11">
        <f t="shared" si="0"/>
        <v>72.599999999999994</v>
      </c>
      <c r="I11">
        <f t="shared" si="1"/>
        <v>29</v>
      </c>
      <c r="J11">
        <f t="shared" si="2"/>
        <v>81.10560000000001</v>
      </c>
      <c r="K11">
        <f t="shared" si="3"/>
        <v>43.254400000000011</v>
      </c>
      <c r="L11">
        <f t="shared" si="4"/>
        <v>0</v>
      </c>
      <c r="M11">
        <f t="shared" si="5"/>
        <v>69.339199999999991</v>
      </c>
    </row>
    <row r="12" spans="2:23" ht="21.6" thickBot="1" x14ac:dyDescent="0.35">
      <c r="B12" s="2">
        <v>9</v>
      </c>
      <c r="C12" s="1">
        <v>48</v>
      </c>
      <c r="D12" s="1">
        <v>57</v>
      </c>
      <c r="E12" s="1">
        <v>65</v>
      </c>
      <c r="F12" s="1">
        <v>62</v>
      </c>
      <c r="G12" s="1">
        <v>79</v>
      </c>
      <c r="H12">
        <f t="shared" si="0"/>
        <v>62.2</v>
      </c>
      <c r="I12">
        <f t="shared" si="1"/>
        <v>31</v>
      </c>
      <c r="J12">
        <f t="shared" si="2"/>
        <v>81.10560000000001</v>
      </c>
      <c r="K12">
        <f t="shared" si="3"/>
        <v>43.254400000000011</v>
      </c>
      <c r="L12">
        <f t="shared" si="4"/>
        <v>0</v>
      </c>
      <c r="M12">
        <f t="shared" si="5"/>
        <v>69.339199999999991</v>
      </c>
    </row>
    <row r="13" spans="2:23" ht="21.6" thickBot="1" x14ac:dyDescent="0.35">
      <c r="B13" s="2">
        <v>10</v>
      </c>
      <c r="C13" s="1">
        <v>56</v>
      </c>
      <c r="D13" s="1">
        <v>76</v>
      </c>
      <c r="E13" s="1">
        <v>79</v>
      </c>
      <c r="F13" s="1">
        <v>85</v>
      </c>
      <c r="G13" s="1">
        <v>84</v>
      </c>
      <c r="H13">
        <f t="shared" si="0"/>
        <v>76</v>
      </c>
      <c r="I13">
        <f t="shared" si="1"/>
        <v>29</v>
      </c>
      <c r="J13">
        <f t="shared" si="2"/>
        <v>81.10560000000001</v>
      </c>
      <c r="K13">
        <f t="shared" si="3"/>
        <v>43.254400000000011</v>
      </c>
      <c r="L13">
        <f t="shared" si="4"/>
        <v>0</v>
      </c>
      <c r="M13">
        <f t="shared" si="5"/>
        <v>69.339199999999991</v>
      </c>
    </row>
  </sheetData>
  <mergeCells count="2">
    <mergeCell ref="B2:B3"/>
    <mergeCell ref="C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B9B1-74B3-417B-A90A-995D566562C7}">
  <dimension ref="D4:H8"/>
  <sheetViews>
    <sheetView tabSelected="1" workbookViewId="0">
      <selection activeCell="J10" sqref="J10"/>
    </sheetView>
  </sheetViews>
  <sheetFormatPr defaultRowHeight="14.4" x14ac:dyDescent="0.3"/>
  <sheetData>
    <row r="4" spans="4:8" x14ac:dyDescent="0.3">
      <c r="D4" t="s">
        <v>10</v>
      </c>
      <c r="E4" t="s">
        <v>16</v>
      </c>
      <c r="F4" t="s">
        <v>17</v>
      </c>
      <c r="G4" t="s">
        <v>18</v>
      </c>
    </row>
    <row r="5" spans="4:8" x14ac:dyDescent="0.3">
      <c r="D5" t="s">
        <v>11</v>
      </c>
      <c r="E5">
        <v>0</v>
      </c>
      <c r="F5">
        <v>0</v>
      </c>
      <c r="G5">
        <f>12*E5+16*F5</f>
        <v>0</v>
      </c>
    </row>
    <row r="6" spans="4:8" x14ac:dyDescent="0.3">
      <c r="D6" t="s">
        <v>12</v>
      </c>
      <c r="E6">
        <v>10</v>
      </c>
      <c r="F6">
        <v>0</v>
      </c>
      <c r="G6">
        <f t="shared" ref="G6:G8" si="0">12*E6+16*F6</f>
        <v>120</v>
      </c>
    </row>
    <row r="7" spans="4:8" x14ac:dyDescent="0.3">
      <c r="D7" t="s">
        <v>14</v>
      </c>
      <c r="E7">
        <v>8</v>
      </c>
      <c r="F7">
        <v>2</v>
      </c>
      <c r="G7" s="8">
        <f t="shared" si="0"/>
        <v>128</v>
      </c>
      <c r="H7" t="s">
        <v>19</v>
      </c>
    </row>
    <row r="8" spans="4:8" x14ac:dyDescent="0.3">
      <c r="D8" t="s">
        <v>15</v>
      </c>
      <c r="E8">
        <v>0</v>
      </c>
      <c r="F8">
        <v>6</v>
      </c>
      <c r="G8">
        <f t="shared" si="0"/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81BF-4278-413D-B506-4B0928B972B3}">
  <dimension ref="A3:F11"/>
  <sheetViews>
    <sheetView workbookViewId="0">
      <selection activeCell="D10" sqref="D10"/>
    </sheetView>
  </sheetViews>
  <sheetFormatPr defaultRowHeight="14.4" x14ac:dyDescent="0.3"/>
  <sheetData>
    <row r="3" spans="1:6" x14ac:dyDescent="0.3">
      <c r="A3" t="s">
        <v>20</v>
      </c>
      <c r="B3" t="s">
        <v>21</v>
      </c>
      <c r="C3" t="s">
        <v>22</v>
      </c>
    </row>
    <row r="4" spans="1:6" x14ac:dyDescent="0.3">
      <c r="A4" t="s">
        <v>23</v>
      </c>
      <c r="B4" s="9">
        <v>24</v>
      </c>
      <c r="C4" s="9">
        <v>4</v>
      </c>
    </row>
    <row r="5" spans="1:6" x14ac:dyDescent="0.3">
      <c r="A5" t="s">
        <v>24</v>
      </c>
      <c r="B5">
        <v>15</v>
      </c>
      <c r="C5">
        <v>40</v>
      </c>
    </row>
    <row r="7" spans="1:6" x14ac:dyDescent="0.3">
      <c r="A7" t="s">
        <v>25</v>
      </c>
      <c r="B7">
        <f>SUMPRODUCT(B4:C4,B5:C5)</f>
        <v>520</v>
      </c>
    </row>
    <row r="9" spans="1:6" x14ac:dyDescent="0.3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</row>
    <row r="10" spans="1:6" x14ac:dyDescent="0.3">
      <c r="A10" t="s">
        <v>33</v>
      </c>
      <c r="B10">
        <v>2</v>
      </c>
      <c r="C10">
        <v>3</v>
      </c>
      <c r="D10">
        <f>SUMPRODUCT($B$4:$C$4,B10:C10)</f>
        <v>60</v>
      </c>
      <c r="E10" t="s">
        <v>32</v>
      </c>
      <c r="F10">
        <v>60</v>
      </c>
    </row>
    <row r="11" spans="1:6" x14ac:dyDescent="0.3">
      <c r="A11" t="s">
        <v>34</v>
      </c>
      <c r="B11">
        <v>1</v>
      </c>
      <c r="C11">
        <v>4</v>
      </c>
      <c r="D11">
        <f>SUMPRODUCT($B$4:$C$4,B11:C11)</f>
        <v>40</v>
      </c>
      <c r="E11" t="s">
        <v>32</v>
      </c>
      <c r="F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EE6E-E220-405A-B044-FCE2938D54FB}">
  <dimension ref="A1:H16"/>
  <sheetViews>
    <sheetView showGridLines="0" workbookViewId="0">
      <selection activeCell="I8" sqref="I8"/>
    </sheetView>
  </sheetViews>
  <sheetFormatPr defaultRowHeight="14.4" x14ac:dyDescent="0.3"/>
  <cols>
    <col min="1" max="1" width="2.33203125" customWidth="1"/>
    <col min="2" max="2" width="6.21875" bestFit="1" customWidth="1"/>
    <col min="3" max="3" width="10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0" t="s">
        <v>48</v>
      </c>
    </row>
    <row r="2" spans="1:8" x14ac:dyDescent="0.3">
      <c r="A2" s="10" t="s">
        <v>111</v>
      </c>
    </row>
    <row r="3" spans="1:8" x14ac:dyDescent="0.3">
      <c r="A3" s="10" t="s">
        <v>112</v>
      </c>
    </row>
    <row r="6" spans="1:8" ht="15" thickBot="1" x14ac:dyDescent="0.35">
      <c r="A6" t="s">
        <v>51</v>
      </c>
    </row>
    <row r="7" spans="1:8" x14ac:dyDescent="0.3">
      <c r="B7" s="13"/>
      <c r="C7" s="13"/>
      <c r="D7" s="13" t="s">
        <v>54</v>
      </c>
      <c r="E7" s="13" t="s">
        <v>56</v>
      </c>
      <c r="F7" s="13" t="s">
        <v>58</v>
      </c>
      <c r="G7" s="13" t="s">
        <v>60</v>
      </c>
      <c r="H7" s="13" t="s">
        <v>60</v>
      </c>
    </row>
    <row r="8" spans="1:8" ht="15" thickBot="1" x14ac:dyDescent="0.35">
      <c r="B8" s="14" t="s">
        <v>52</v>
      </c>
      <c r="C8" s="14" t="s">
        <v>53</v>
      </c>
      <c r="D8" s="14" t="s">
        <v>55</v>
      </c>
      <c r="E8" s="14" t="s">
        <v>57</v>
      </c>
      <c r="F8" s="14" t="s">
        <v>59</v>
      </c>
      <c r="G8" s="14" t="s">
        <v>61</v>
      </c>
      <c r="H8" s="14" t="s">
        <v>62</v>
      </c>
    </row>
    <row r="9" spans="1:8" x14ac:dyDescent="0.3">
      <c r="B9" s="11" t="s">
        <v>113</v>
      </c>
      <c r="C9" s="11" t="s">
        <v>114</v>
      </c>
      <c r="D9" s="11">
        <v>8</v>
      </c>
      <c r="E9" s="11">
        <v>0</v>
      </c>
      <c r="F9" s="11">
        <v>12</v>
      </c>
      <c r="G9" s="11">
        <v>4</v>
      </c>
      <c r="H9" s="11">
        <v>4</v>
      </c>
    </row>
    <row r="10" spans="1:8" ht="15" thickBot="1" x14ac:dyDescent="0.35">
      <c r="B10" s="12" t="s">
        <v>115</v>
      </c>
      <c r="C10" s="12" t="s">
        <v>116</v>
      </c>
      <c r="D10" s="12">
        <v>2</v>
      </c>
      <c r="E10" s="12">
        <v>0</v>
      </c>
      <c r="F10" s="12">
        <v>16</v>
      </c>
      <c r="G10" s="12">
        <v>8</v>
      </c>
      <c r="H10" s="12">
        <v>4</v>
      </c>
    </row>
    <row r="12" spans="1:8" ht="15" thickBot="1" x14ac:dyDescent="0.35">
      <c r="A12" t="s">
        <v>40</v>
      </c>
    </row>
    <row r="13" spans="1:8" x14ac:dyDescent="0.3">
      <c r="B13" s="13"/>
      <c r="C13" s="13"/>
      <c r="D13" s="13" t="s">
        <v>54</v>
      </c>
      <c r="E13" s="13" t="s">
        <v>63</v>
      </c>
      <c r="F13" s="13" t="s">
        <v>26</v>
      </c>
      <c r="G13" s="13" t="s">
        <v>60</v>
      </c>
      <c r="H13" s="13" t="s">
        <v>60</v>
      </c>
    </row>
    <row r="14" spans="1:8" ht="15" thickBot="1" x14ac:dyDescent="0.35">
      <c r="B14" s="14" t="s">
        <v>52</v>
      </c>
      <c r="C14" s="14" t="s">
        <v>53</v>
      </c>
      <c r="D14" s="14" t="s">
        <v>55</v>
      </c>
      <c r="E14" s="14" t="s">
        <v>64</v>
      </c>
      <c r="F14" s="14" t="s">
        <v>65</v>
      </c>
      <c r="G14" s="14" t="s">
        <v>61</v>
      </c>
      <c r="H14" s="14" t="s">
        <v>62</v>
      </c>
    </row>
    <row r="15" spans="1:8" x14ac:dyDescent="0.3">
      <c r="B15" s="11" t="s">
        <v>117</v>
      </c>
      <c r="C15" s="11" t="s">
        <v>118</v>
      </c>
      <c r="D15" s="11">
        <v>80</v>
      </c>
      <c r="E15" s="11">
        <v>1</v>
      </c>
      <c r="F15" s="11">
        <v>80</v>
      </c>
      <c r="G15" s="11">
        <v>16</v>
      </c>
      <c r="H15" s="11">
        <v>32</v>
      </c>
    </row>
    <row r="16" spans="1:8" ht="15" thickBot="1" x14ac:dyDescent="0.35">
      <c r="B16" s="12" t="s">
        <v>119</v>
      </c>
      <c r="C16" s="12" t="s">
        <v>120</v>
      </c>
      <c r="D16" s="12">
        <v>120</v>
      </c>
      <c r="E16" s="12">
        <v>0.4</v>
      </c>
      <c r="F16" s="12">
        <v>120</v>
      </c>
      <c r="G16" s="12">
        <v>80</v>
      </c>
      <c r="H16" s="1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7F29-2C82-40D8-B8B5-F6AC93C4F104}">
  <dimension ref="A2:F10"/>
  <sheetViews>
    <sheetView workbookViewId="0">
      <selection activeCell="E14" sqref="E14"/>
    </sheetView>
  </sheetViews>
  <sheetFormatPr defaultRowHeight="14.4" x14ac:dyDescent="0.3"/>
  <sheetData>
    <row r="2" spans="1:6" x14ac:dyDescent="0.3">
      <c r="A2" t="s">
        <v>35</v>
      </c>
      <c r="B2" t="s">
        <v>16</v>
      </c>
      <c r="C2" t="s">
        <v>17</v>
      </c>
    </row>
    <row r="3" spans="1:6" x14ac:dyDescent="0.3">
      <c r="A3" t="s">
        <v>105</v>
      </c>
      <c r="B3" s="9">
        <v>8</v>
      </c>
      <c r="C3" s="9">
        <v>2</v>
      </c>
    </row>
    <row r="4" spans="1:6" x14ac:dyDescent="0.3">
      <c r="A4" t="s">
        <v>106</v>
      </c>
      <c r="B4">
        <v>12</v>
      </c>
      <c r="C4">
        <v>16</v>
      </c>
    </row>
    <row r="6" spans="1:6" x14ac:dyDescent="0.3">
      <c r="A6" t="s">
        <v>107</v>
      </c>
      <c r="B6">
        <f>SUMPRODUCT(B3:C3,B4:C4)</f>
        <v>128</v>
      </c>
    </row>
    <row r="8" spans="1:6" x14ac:dyDescent="0.3">
      <c r="A8" t="s">
        <v>108</v>
      </c>
      <c r="B8" t="s">
        <v>16</v>
      </c>
      <c r="C8" t="s">
        <v>17</v>
      </c>
      <c r="D8" t="s">
        <v>29</v>
      </c>
      <c r="E8" t="s">
        <v>44</v>
      </c>
    </row>
    <row r="9" spans="1:6" x14ac:dyDescent="0.3">
      <c r="A9" t="s">
        <v>109</v>
      </c>
      <c r="B9">
        <v>10</v>
      </c>
      <c r="C9">
        <v>20</v>
      </c>
      <c r="D9">
        <f>SUMPRODUCT($B$3:$C$3,B9:C9)</f>
        <v>120</v>
      </c>
      <c r="E9" t="s">
        <v>32</v>
      </c>
      <c r="F9">
        <v>120</v>
      </c>
    </row>
    <row r="10" spans="1:6" x14ac:dyDescent="0.3">
      <c r="A10" t="s">
        <v>110</v>
      </c>
      <c r="B10">
        <v>8</v>
      </c>
      <c r="C10">
        <v>8</v>
      </c>
      <c r="D10">
        <f>SUMPRODUCT($B$3:$C$3,B10:C10)</f>
        <v>80</v>
      </c>
      <c r="E10" t="s">
        <v>32</v>
      </c>
      <c r="F10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3607-F4B3-4959-B6D0-DA9FF988F8C7}">
  <dimension ref="A1:H18"/>
  <sheetViews>
    <sheetView showGridLines="0" workbookViewId="0">
      <selection activeCell="J26" sqref="J26"/>
    </sheetView>
  </sheetViews>
  <sheetFormatPr defaultRowHeight="14.4" x14ac:dyDescent="0.3"/>
  <cols>
    <col min="1" max="1" width="2.33203125" customWidth="1"/>
    <col min="2" max="2" width="6" bestFit="1" customWidth="1"/>
    <col min="3" max="3" width="14.2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0" t="s">
        <v>48</v>
      </c>
    </row>
    <row r="2" spans="1:8" x14ac:dyDescent="0.3">
      <c r="A2" s="10" t="s">
        <v>49</v>
      </c>
    </row>
    <row r="3" spans="1:8" x14ac:dyDescent="0.3">
      <c r="A3" s="10" t="s">
        <v>50</v>
      </c>
    </row>
    <row r="6" spans="1:8" ht="15" thickBot="1" x14ac:dyDescent="0.35">
      <c r="A6" t="s">
        <v>51</v>
      </c>
    </row>
    <row r="7" spans="1:8" x14ac:dyDescent="0.3">
      <c r="B7" s="13"/>
      <c r="C7" s="13"/>
      <c r="D7" s="13" t="s">
        <v>54</v>
      </c>
      <c r="E7" s="13" t="s">
        <v>56</v>
      </c>
      <c r="F7" s="13" t="s">
        <v>58</v>
      </c>
      <c r="G7" s="13" t="s">
        <v>60</v>
      </c>
      <c r="H7" s="13" t="s">
        <v>60</v>
      </c>
    </row>
    <row r="8" spans="1:8" ht="15" thickBot="1" x14ac:dyDescent="0.35">
      <c r="B8" s="14" t="s">
        <v>52</v>
      </c>
      <c r="C8" s="14" t="s">
        <v>53</v>
      </c>
      <c r="D8" s="14" t="s">
        <v>55</v>
      </c>
      <c r="E8" s="14" t="s">
        <v>57</v>
      </c>
      <c r="F8" s="14" t="s">
        <v>59</v>
      </c>
      <c r="G8" s="14" t="s">
        <v>61</v>
      </c>
      <c r="H8" s="14" t="s">
        <v>62</v>
      </c>
    </row>
    <row r="9" spans="1:8" x14ac:dyDescent="0.3">
      <c r="B9" s="11" t="s">
        <v>66</v>
      </c>
      <c r="C9" s="11" t="s">
        <v>67</v>
      </c>
      <c r="D9" s="11">
        <v>80</v>
      </c>
      <c r="E9" s="11">
        <v>0</v>
      </c>
      <c r="F9" s="11">
        <v>63</v>
      </c>
      <c r="G9" s="11">
        <v>32</v>
      </c>
      <c r="H9" s="11">
        <v>15.5</v>
      </c>
    </row>
    <row r="10" spans="1:8" x14ac:dyDescent="0.3">
      <c r="B10" s="11" t="s">
        <v>68</v>
      </c>
      <c r="C10" s="11" t="s">
        <v>69</v>
      </c>
      <c r="D10" s="11">
        <v>120</v>
      </c>
      <c r="E10" s="11">
        <v>0</v>
      </c>
      <c r="F10" s="11">
        <v>95</v>
      </c>
      <c r="G10" s="11">
        <v>31</v>
      </c>
      <c r="H10" s="11">
        <v>27.5</v>
      </c>
    </row>
    <row r="11" spans="1:8" ht="15" thickBot="1" x14ac:dyDescent="0.35">
      <c r="B11" s="12" t="s">
        <v>70</v>
      </c>
      <c r="C11" s="12" t="s">
        <v>71</v>
      </c>
      <c r="D11" s="12">
        <v>0</v>
      </c>
      <c r="E11" s="12">
        <v>-55</v>
      </c>
      <c r="F11" s="12">
        <v>135</v>
      </c>
      <c r="G11" s="12">
        <v>55</v>
      </c>
      <c r="H11" s="12">
        <v>1E+30</v>
      </c>
    </row>
    <row r="13" spans="1:8" ht="15" thickBot="1" x14ac:dyDescent="0.35">
      <c r="A13" t="s">
        <v>40</v>
      </c>
    </row>
    <row r="14" spans="1:8" x14ac:dyDescent="0.3">
      <c r="B14" s="13"/>
      <c r="C14" s="13"/>
      <c r="D14" s="13" t="s">
        <v>54</v>
      </c>
      <c r="E14" s="13" t="s">
        <v>63</v>
      </c>
      <c r="F14" s="13" t="s">
        <v>26</v>
      </c>
      <c r="G14" s="13" t="s">
        <v>60</v>
      </c>
      <c r="H14" s="13" t="s">
        <v>60</v>
      </c>
    </row>
    <row r="15" spans="1:8" ht="15" thickBot="1" x14ac:dyDescent="0.35">
      <c r="B15" s="14" t="s">
        <v>52</v>
      </c>
      <c r="C15" s="14" t="s">
        <v>53</v>
      </c>
      <c r="D15" s="14" t="s">
        <v>55</v>
      </c>
      <c r="E15" s="14" t="s">
        <v>64</v>
      </c>
      <c r="F15" s="14" t="s">
        <v>65</v>
      </c>
      <c r="G15" s="14" t="s">
        <v>61</v>
      </c>
      <c r="H15" s="14" t="s">
        <v>62</v>
      </c>
    </row>
    <row r="16" spans="1:8" x14ac:dyDescent="0.3">
      <c r="B16" s="11" t="s">
        <v>72</v>
      </c>
      <c r="C16" s="11" t="s">
        <v>73</v>
      </c>
      <c r="D16" s="11">
        <v>200</v>
      </c>
      <c r="E16" s="11">
        <v>31</v>
      </c>
      <c r="F16" s="11">
        <v>200</v>
      </c>
      <c r="G16" s="11">
        <v>80</v>
      </c>
      <c r="H16" s="11">
        <v>40</v>
      </c>
    </row>
    <row r="17" spans="2:8" x14ac:dyDescent="0.3">
      <c r="B17" s="11" t="s">
        <v>74</v>
      </c>
      <c r="C17" s="11" t="s">
        <v>75</v>
      </c>
      <c r="D17" s="11">
        <v>320</v>
      </c>
      <c r="E17" s="11">
        <v>32</v>
      </c>
      <c r="F17" s="11">
        <v>320</v>
      </c>
      <c r="G17" s="11">
        <v>80</v>
      </c>
      <c r="H17" s="11">
        <v>120</v>
      </c>
    </row>
    <row r="18" spans="2:8" ht="15" thickBot="1" x14ac:dyDescent="0.35">
      <c r="B18" s="12" t="s">
        <v>76</v>
      </c>
      <c r="C18" s="12" t="s">
        <v>77</v>
      </c>
      <c r="D18" s="12">
        <v>2080</v>
      </c>
      <c r="E18" s="12">
        <v>0</v>
      </c>
      <c r="F18" s="12">
        <v>2400</v>
      </c>
      <c r="G18" s="12">
        <v>1E+30</v>
      </c>
      <c r="H18" s="12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806C-929E-4EBB-AA72-A9DF5C2FD7BC}">
  <dimension ref="A3:G12"/>
  <sheetViews>
    <sheetView workbookViewId="0">
      <selection activeCell="F12" sqref="F12"/>
    </sheetView>
  </sheetViews>
  <sheetFormatPr defaultRowHeight="14.4" x14ac:dyDescent="0.3"/>
  <sheetData>
    <row r="3" spans="1:7" x14ac:dyDescent="0.3">
      <c r="A3" t="s">
        <v>35</v>
      </c>
      <c r="B3" t="s">
        <v>16</v>
      </c>
      <c r="C3" t="s">
        <v>17</v>
      </c>
      <c r="D3" t="s">
        <v>38</v>
      </c>
    </row>
    <row r="4" spans="1:7" x14ac:dyDescent="0.3">
      <c r="A4" t="s">
        <v>36</v>
      </c>
      <c r="B4" s="9">
        <v>80</v>
      </c>
      <c r="C4" s="9">
        <v>120</v>
      </c>
      <c r="D4" s="9">
        <v>0</v>
      </c>
    </row>
    <row r="5" spans="1:7" x14ac:dyDescent="0.3">
      <c r="A5" t="s">
        <v>37</v>
      </c>
      <c r="B5">
        <v>63</v>
      </c>
      <c r="C5">
        <v>95</v>
      </c>
      <c r="D5">
        <v>135</v>
      </c>
    </row>
    <row r="7" spans="1:7" x14ac:dyDescent="0.3">
      <c r="A7" t="s">
        <v>39</v>
      </c>
      <c r="B7">
        <f>SUMPRODUCT(B4:D4,B5:D5)</f>
        <v>16440</v>
      </c>
    </row>
    <row r="9" spans="1:7" x14ac:dyDescent="0.3">
      <c r="A9" t="s">
        <v>40</v>
      </c>
      <c r="B9" t="s">
        <v>41</v>
      </c>
      <c r="C9" t="s">
        <v>42</v>
      </c>
      <c r="D9" t="s">
        <v>43</v>
      </c>
      <c r="E9" t="s">
        <v>29</v>
      </c>
      <c r="F9" t="s">
        <v>44</v>
      </c>
      <c r="G9" t="s">
        <v>31</v>
      </c>
    </row>
    <row r="10" spans="1:7" x14ac:dyDescent="0.3">
      <c r="A10" t="s">
        <v>45</v>
      </c>
      <c r="B10">
        <v>1</v>
      </c>
      <c r="C10">
        <v>1</v>
      </c>
      <c r="D10">
        <v>2</v>
      </c>
      <c r="E10">
        <f>SUMPRODUCT($B$4:$D$4,B10:D10)</f>
        <v>200</v>
      </c>
      <c r="F10" t="s">
        <v>32</v>
      </c>
      <c r="G10">
        <v>200</v>
      </c>
    </row>
    <row r="11" spans="1:7" x14ac:dyDescent="0.3">
      <c r="A11" t="s">
        <v>46</v>
      </c>
      <c r="B11">
        <v>1</v>
      </c>
      <c r="C11">
        <v>2</v>
      </c>
      <c r="D11">
        <v>4</v>
      </c>
      <c r="E11">
        <f>SUMPRODUCT($B$4:$D$4,B11:D11)</f>
        <v>320</v>
      </c>
      <c r="F11" t="s">
        <v>32</v>
      </c>
      <c r="G11">
        <v>320</v>
      </c>
    </row>
    <row r="12" spans="1:7" x14ac:dyDescent="0.3">
      <c r="A12" t="s">
        <v>47</v>
      </c>
      <c r="B12">
        <v>8</v>
      </c>
      <c r="C12">
        <v>12</v>
      </c>
      <c r="D12">
        <v>14</v>
      </c>
      <c r="E12">
        <f>SUMPRODUCT($B$4:$D$4,B12:D12)</f>
        <v>2080</v>
      </c>
      <c r="F12" t="s">
        <v>32</v>
      </c>
      <c r="G12">
        <v>2400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19BB-46B1-4DB2-97C6-7D12DC0F076E}">
  <dimension ref="A1:K21"/>
  <sheetViews>
    <sheetView workbookViewId="0">
      <selection activeCell="M12" sqref="M12"/>
    </sheetView>
  </sheetViews>
  <sheetFormatPr defaultRowHeight="14.4" x14ac:dyDescent="0.3"/>
  <sheetData>
    <row r="1" spans="1:11" ht="21.6" thickBot="1" x14ac:dyDescent="0.35">
      <c r="A1" s="22" t="s">
        <v>92</v>
      </c>
      <c r="B1" s="25" t="s">
        <v>93</v>
      </c>
      <c r="C1" s="24"/>
      <c r="D1" s="24"/>
      <c r="E1" s="24"/>
      <c r="F1" s="26"/>
      <c r="G1" s="27" t="s">
        <v>81</v>
      </c>
    </row>
    <row r="2" spans="1:11" ht="21.6" thickBot="1" x14ac:dyDescent="0.35">
      <c r="A2" s="23"/>
      <c r="B2" s="15" t="s">
        <v>94</v>
      </c>
      <c r="C2" s="15" t="s">
        <v>95</v>
      </c>
      <c r="D2" s="15" t="s">
        <v>96</v>
      </c>
      <c r="E2" s="15" t="s">
        <v>97</v>
      </c>
      <c r="F2" s="16" t="s">
        <v>98</v>
      </c>
      <c r="G2" s="28"/>
    </row>
    <row r="3" spans="1:11" ht="21.6" thickBot="1" x14ac:dyDescent="0.35">
      <c r="A3" s="17" t="s">
        <v>99</v>
      </c>
      <c r="B3" s="18">
        <v>4</v>
      </c>
      <c r="C3" s="18">
        <v>7</v>
      </c>
      <c r="D3" s="18">
        <v>8</v>
      </c>
      <c r="E3" s="18">
        <v>5</v>
      </c>
      <c r="F3" s="19">
        <v>6</v>
      </c>
      <c r="G3" s="20">
        <v>15</v>
      </c>
    </row>
    <row r="4" spans="1:11" ht="21.6" thickBot="1" x14ac:dyDescent="0.35">
      <c r="A4" s="17" t="s">
        <v>100</v>
      </c>
      <c r="B4" s="18">
        <v>6</v>
      </c>
      <c r="C4" s="18">
        <v>2</v>
      </c>
      <c r="D4" s="18">
        <v>5</v>
      </c>
      <c r="E4" s="18">
        <v>8</v>
      </c>
      <c r="F4" s="19">
        <v>3</v>
      </c>
      <c r="G4" s="20">
        <v>10</v>
      </c>
    </row>
    <row r="5" spans="1:11" ht="21.6" thickBot="1" x14ac:dyDescent="0.35">
      <c r="A5" s="17" t="s">
        <v>101</v>
      </c>
      <c r="B5" s="18">
        <v>7</v>
      </c>
      <c r="C5" s="18">
        <v>2</v>
      </c>
      <c r="D5" s="18">
        <v>5</v>
      </c>
      <c r="E5" s="18">
        <v>4</v>
      </c>
      <c r="F5" s="19">
        <v>4</v>
      </c>
      <c r="G5" s="20">
        <v>15</v>
      </c>
    </row>
    <row r="6" spans="1:11" ht="21.6" thickBot="1" x14ac:dyDescent="0.35">
      <c r="A6" s="17" t="s">
        <v>102</v>
      </c>
      <c r="B6" s="18">
        <v>5</v>
      </c>
      <c r="C6" s="18">
        <v>4</v>
      </c>
      <c r="D6" s="18">
        <v>7</v>
      </c>
      <c r="E6" s="18">
        <v>4</v>
      </c>
      <c r="F6" s="19">
        <v>8</v>
      </c>
      <c r="G6" s="20">
        <v>25</v>
      </c>
    </row>
    <row r="7" spans="1:11" ht="21.6" thickBot="1" x14ac:dyDescent="0.35">
      <c r="A7" s="17" t="s">
        <v>103</v>
      </c>
      <c r="B7" s="18">
        <v>5</v>
      </c>
      <c r="C7" s="18">
        <v>8</v>
      </c>
      <c r="D7" s="18">
        <v>7</v>
      </c>
      <c r="E7" s="18">
        <v>4</v>
      </c>
      <c r="F7" s="19">
        <v>8</v>
      </c>
      <c r="G7" s="20">
        <v>15</v>
      </c>
    </row>
    <row r="8" spans="1:11" ht="21.6" thickBot="1" x14ac:dyDescent="0.35">
      <c r="A8" s="17" t="s">
        <v>104</v>
      </c>
      <c r="B8" s="18">
        <v>5</v>
      </c>
      <c r="C8" s="18">
        <v>2</v>
      </c>
      <c r="D8" s="18">
        <v>6</v>
      </c>
      <c r="E8" s="18">
        <v>9</v>
      </c>
      <c r="F8" s="19">
        <v>6</v>
      </c>
      <c r="G8" s="20">
        <v>20</v>
      </c>
    </row>
    <row r="9" spans="1:11" ht="21.6" thickBot="1" x14ac:dyDescent="0.35">
      <c r="A9" s="17" t="s">
        <v>82</v>
      </c>
      <c r="B9" s="18">
        <v>10</v>
      </c>
      <c r="C9" s="18">
        <v>10</v>
      </c>
      <c r="D9" s="18">
        <v>15</v>
      </c>
      <c r="E9" s="18">
        <v>25</v>
      </c>
      <c r="F9" s="19">
        <v>30</v>
      </c>
      <c r="G9" s="21"/>
    </row>
    <row r="12" spans="1:11" ht="15" thickBot="1" x14ac:dyDescent="0.35"/>
    <row r="13" spans="1:11" ht="21.6" thickBot="1" x14ac:dyDescent="0.35">
      <c r="A13" s="22" t="s">
        <v>92</v>
      </c>
      <c r="B13" s="25" t="s">
        <v>93</v>
      </c>
      <c r="C13" s="24"/>
      <c r="D13" s="24"/>
      <c r="E13" s="24"/>
      <c r="F13" s="26"/>
      <c r="G13" s="27" t="s">
        <v>81</v>
      </c>
    </row>
    <row r="14" spans="1:11" ht="21.6" thickBot="1" x14ac:dyDescent="0.35">
      <c r="A14" s="23"/>
      <c r="B14" s="15" t="s">
        <v>94</v>
      </c>
      <c r="C14" s="15" t="s">
        <v>95</v>
      </c>
      <c r="D14" s="15" t="s">
        <v>96</v>
      </c>
      <c r="E14" s="15" t="s">
        <v>97</v>
      </c>
      <c r="F14" s="16" t="s">
        <v>98</v>
      </c>
      <c r="G14" s="28"/>
      <c r="J14" t="s">
        <v>57</v>
      </c>
      <c r="K14">
        <f>SUMPRODUCT(B3:F8,B15:F20)</f>
        <v>525</v>
      </c>
    </row>
    <row r="15" spans="1:11" ht="21.6" thickBot="1" x14ac:dyDescent="0.35">
      <c r="A15" s="17" t="s">
        <v>99</v>
      </c>
      <c r="B15" s="29">
        <v>0</v>
      </c>
      <c r="C15" s="29">
        <v>0</v>
      </c>
      <c r="D15" s="29">
        <v>0</v>
      </c>
      <c r="E15" s="29">
        <v>15</v>
      </c>
      <c r="F15" s="30">
        <v>0</v>
      </c>
      <c r="G15" s="31">
        <f>SUM(B15:F15)</f>
        <v>15</v>
      </c>
    </row>
    <row r="16" spans="1:11" ht="21.6" thickBot="1" x14ac:dyDescent="0.35">
      <c r="A16" s="17" t="s">
        <v>100</v>
      </c>
      <c r="B16" s="29">
        <v>0</v>
      </c>
      <c r="C16" s="29">
        <v>0</v>
      </c>
      <c r="D16" s="29">
        <v>5</v>
      </c>
      <c r="E16" s="29">
        <v>5</v>
      </c>
      <c r="F16" s="30">
        <v>0</v>
      </c>
      <c r="G16" s="31">
        <f t="shared" ref="G16:G20" si="0">SUM(B16:F16)</f>
        <v>10</v>
      </c>
    </row>
    <row r="17" spans="1:7" ht="21.6" thickBot="1" x14ac:dyDescent="0.35">
      <c r="A17" s="17" t="s">
        <v>101</v>
      </c>
      <c r="B17" s="29">
        <v>0</v>
      </c>
      <c r="C17" s="29">
        <v>5</v>
      </c>
      <c r="D17" s="29">
        <v>10</v>
      </c>
      <c r="E17" s="29">
        <v>0</v>
      </c>
      <c r="F17" s="30">
        <v>0</v>
      </c>
      <c r="G17" s="31">
        <f t="shared" si="0"/>
        <v>15</v>
      </c>
    </row>
    <row r="18" spans="1:7" ht="21.6" thickBot="1" x14ac:dyDescent="0.35">
      <c r="A18" s="17" t="s">
        <v>102</v>
      </c>
      <c r="B18" s="29">
        <v>10</v>
      </c>
      <c r="C18" s="29">
        <v>5</v>
      </c>
      <c r="D18" s="29">
        <v>0</v>
      </c>
      <c r="E18" s="29">
        <v>0</v>
      </c>
      <c r="F18" s="30">
        <v>0</v>
      </c>
      <c r="G18" s="31">
        <f t="shared" si="0"/>
        <v>15</v>
      </c>
    </row>
    <row r="19" spans="1:7" ht="21.6" thickBot="1" x14ac:dyDescent="0.35">
      <c r="A19" s="17" t="s">
        <v>103</v>
      </c>
      <c r="B19" s="29">
        <v>0</v>
      </c>
      <c r="C19" s="29">
        <v>0</v>
      </c>
      <c r="D19" s="29">
        <v>0</v>
      </c>
      <c r="E19" s="29">
        <v>0</v>
      </c>
      <c r="F19" s="30">
        <v>15</v>
      </c>
      <c r="G19" s="31">
        <f t="shared" si="0"/>
        <v>15</v>
      </c>
    </row>
    <row r="20" spans="1:7" ht="21.6" thickBot="1" x14ac:dyDescent="0.35">
      <c r="A20" s="17" t="s">
        <v>104</v>
      </c>
      <c r="B20" s="29">
        <v>0</v>
      </c>
      <c r="C20" s="29">
        <v>0</v>
      </c>
      <c r="D20" s="29">
        <v>0</v>
      </c>
      <c r="E20" s="29">
        <v>5</v>
      </c>
      <c r="F20" s="30">
        <v>15</v>
      </c>
      <c r="G20" s="31">
        <f t="shared" si="0"/>
        <v>20</v>
      </c>
    </row>
    <row r="21" spans="1:7" ht="21.6" thickBot="1" x14ac:dyDescent="0.35">
      <c r="A21" s="17" t="s">
        <v>82</v>
      </c>
      <c r="B21" s="29">
        <f>SUM(B15:B20)</f>
        <v>10</v>
      </c>
      <c r="C21" s="29">
        <f t="shared" ref="C21:F21" si="1">SUM(C15:C20)</f>
        <v>10</v>
      </c>
      <c r="D21" s="29">
        <f t="shared" si="1"/>
        <v>15</v>
      </c>
      <c r="E21" s="29">
        <f t="shared" si="1"/>
        <v>25</v>
      </c>
      <c r="F21" s="29">
        <f t="shared" si="1"/>
        <v>30</v>
      </c>
      <c r="G21" s="32"/>
    </row>
  </sheetData>
  <mergeCells count="6">
    <mergeCell ref="A1:A2"/>
    <mergeCell ref="B1:F1"/>
    <mergeCell ref="G1:G2"/>
    <mergeCell ref="A13:A14"/>
    <mergeCell ref="B13:F13"/>
    <mergeCell ref="G13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4EED-F7BE-437E-BF75-D8B1C07F13E4}">
  <dimension ref="A1:H13"/>
  <sheetViews>
    <sheetView workbookViewId="0">
      <selection activeCell="F14" sqref="F14"/>
    </sheetView>
  </sheetViews>
  <sheetFormatPr defaultRowHeight="14.4" x14ac:dyDescent="0.3"/>
  <sheetData>
    <row r="1" spans="1:8" x14ac:dyDescent="0.3">
      <c r="A1" t="s">
        <v>78</v>
      </c>
    </row>
    <row r="3" spans="1:8" x14ac:dyDescent="0.3">
      <c r="B3" t="s">
        <v>15</v>
      </c>
      <c r="C3" t="s">
        <v>79</v>
      </c>
      <c r="D3" t="s">
        <v>80</v>
      </c>
      <c r="E3" t="s">
        <v>81</v>
      </c>
    </row>
    <row r="4" spans="1:8" x14ac:dyDescent="0.3">
      <c r="A4" t="s">
        <v>11</v>
      </c>
      <c r="B4">
        <v>5</v>
      </c>
      <c r="C4">
        <v>8</v>
      </c>
      <c r="D4">
        <v>4</v>
      </c>
      <c r="E4">
        <v>50</v>
      </c>
    </row>
    <row r="5" spans="1:8" x14ac:dyDescent="0.3">
      <c r="A5" t="s">
        <v>12</v>
      </c>
      <c r="B5">
        <v>6</v>
      </c>
      <c r="C5">
        <v>6</v>
      </c>
      <c r="D5">
        <v>3</v>
      </c>
      <c r="E5">
        <v>40</v>
      </c>
    </row>
    <row r="6" spans="1:8" x14ac:dyDescent="0.3">
      <c r="A6" t="s">
        <v>14</v>
      </c>
      <c r="B6">
        <v>3</v>
      </c>
      <c r="C6">
        <v>9</v>
      </c>
      <c r="D6">
        <v>6</v>
      </c>
      <c r="E6">
        <v>60</v>
      </c>
    </row>
    <row r="7" spans="1:8" x14ac:dyDescent="0.3">
      <c r="A7" t="s">
        <v>82</v>
      </c>
      <c r="B7">
        <v>20</v>
      </c>
      <c r="C7">
        <v>95</v>
      </c>
      <c r="D7">
        <v>35</v>
      </c>
    </row>
    <row r="9" spans="1:8" x14ac:dyDescent="0.3">
      <c r="B9" t="s">
        <v>15</v>
      </c>
      <c r="C9" t="s">
        <v>79</v>
      </c>
      <c r="D9" t="s">
        <v>80</v>
      </c>
      <c r="E9" t="s">
        <v>81</v>
      </c>
    </row>
    <row r="10" spans="1:8" x14ac:dyDescent="0.3">
      <c r="A10" t="s">
        <v>11</v>
      </c>
      <c r="B10" s="9">
        <v>0</v>
      </c>
      <c r="C10" s="9">
        <v>15</v>
      </c>
      <c r="D10" s="9">
        <v>35</v>
      </c>
      <c r="E10">
        <f>SUM(B10:D10)</f>
        <v>50</v>
      </c>
      <c r="G10" t="s">
        <v>83</v>
      </c>
      <c r="H10">
        <f>SUMPRODUCT(B4:D6,B10:D12)</f>
        <v>920</v>
      </c>
    </row>
    <row r="11" spans="1:8" x14ac:dyDescent="0.3">
      <c r="A11" t="s">
        <v>12</v>
      </c>
      <c r="B11" s="9">
        <v>0</v>
      </c>
      <c r="C11" s="9">
        <v>40</v>
      </c>
      <c r="D11" s="9">
        <v>0</v>
      </c>
      <c r="E11">
        <f t="shared" ref="E11:E12" si="0">SUM(B11:D11)</f>
        <v>40</v>
      </c>
    </row>
    <row r="12" spans="1:8" x14ac:dyDescent="0.3">
      <c r="A12" t="s">
        <v>14</v>
      </c>
      <c r="B12" s="9">
        <v>20</v>
      </c>
      <c r="C12" s="9">
        <v>40</v>
      </c>
      <c r="D12" s="9">
        <v>0</v>
      </c>
      <c r="E12">
        <f t="shared" si="0"/>
        <v>60</v>
      </c>
    </row>
    <row r="13" spans="1:8" x14ac:dyDescent="0.3">
      <c r="A13" t="s">
        <v>82</v>
      </c>
      <c r="B13">
        <f>SUM(B10:B12)</f>
        <v>20</v>
      </c>
      <c r="C13">
        <f t="shared" ref="C13:D13" si="1">SUM(C10:C12)</f>
        <v>95</v>
      </c>
      <c r="D13">
        <f t="shared" si="1"/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AA2-7BBA-4136-A5E4-350F25323E2A}">
  <dimension ref="A1:K14"/>
  <sheetViews>
    <sheetView workbookViewId="0">
      <selection activeCell="K11" sqref="K11"/>
    </sheetView>
  </sheetViews>
  <sheetFormatPr defaultRowHeight="14.4" x14ac:dyDescent="0.3"/>
  <sheetData>
    <row r="1" spans="1:11" x14ac:dyDescent="0.3">
      <c r="A1" t="s">
        <v>84</v>
      </c>
    </row>
    <row r="3" spans="1:11" x14ac:dyDescent="0.3">
      <c r="B3" t="s">
        <v>85</v>
      </c>
      <c r="C3" t="s">
        <v>86</v>
      </c>
      <c r="D3" t="s">
        <v>87</v>
      </c>
      <c r="E3" t="s">
        <v>88</v>
      </c>
      <c r="F3" t="s">
        <v>91</v>
      </c>
    </row>
    <row r="4" spans="1:11" x14ac:dyDescent="0.3">
      <c r="A4" t="s">
        <v>89</v>
      </c>
      <c r="B4">
        <v>5</v>
      </c>
      <c r="C4">
        <v>8</v>
      </c>
      <c r="D4">
        <v>3</v>
      </c>
      <c r="E4">
        <v>6</v>
      </c>
      <c r="F4">
        <v>30</v>
      </c>
    </row>
    <row r="5" spans="1:11" x14ac:dyDescent="0.3">
      <c r="A5" t="s">
        <v>90</v>
      </c>
      <c r="B5">
        <v>4</v>
      </c>
      <c r="C5">
        <v>5</v>
      </c>
      <c r="D5">
        <v>7</v>
      </c>
      <c r="E5">
        <v>4</v>
      </c>
      <c r="F5">
        <v>50</v>
      </c>
    </row>
    <row r="6" spans="1:11" x14ac:dyDescent="0.3">
      <c r="A6" t="s">
        <v>13</v>
      </c>
      <c r="B6">
        <v>6</v>
      </c>
      <c r="C6">
        <v>2</v>
      </c>
      <c r="D6">
        <v>4</v>
      </c>
      <c r="E6">
        <v>5</v>
      </c>
      <c r="F6">
        <v>40</v>
      </c>
    </row>
    <row r="7" spans="1:11" x14ac:dyDescent="0.3">
      <c r="A7" t="s">
        <v>91</v>
      </c>
      <c r="B7">
        <v>30</v>
      </c>
      <c r="C7">
        <v>20</v>
      </c>
      <c r="D7">
        <v>40</v>
      </c>
      <c r="E7">
        <v>30</v>
      </c>
    </row>
    <row r="10" spans="1:11" x14ac:dyDescent="0.3">
      <c r="B10" t="s">
        <v>85</v>
      </c>
      <c r="C10" t="s">
        <v>86</v>
      </c>
      <c r="D10" t="s">
        <v>87</v>
      </c>
      <c r="E10" t="s">
        <v>88</v>
      </c>
      <c r="F10" t="s">
        <v>91</v>
      </c>
      <c r="J10" t="s">
        <v>83</v>
      </c>
      <c r="K10">
        <f>SUMPRODUCT(B4:E6,B11:E13)</f>
        <v>600</v>
      </c>
    </row>
    <row r="11" spans="1:11" x14ac:dyDescent="0.3">
      <c r="A11" t="s">
        <v>89</v>
      </c>
      <c r="B11">
        <v>10</v>
      </c>
      <c r="C11">
        <v>20</v>
      </c>
      <c r="D11">
        <v>0</v>
      </c>
      <c r="E11">
        <v>0</v>
      </c>
      <c r="F11">
        <f>SUM(B11:D11)</f>
        <v>30</v>
      </c>
    </row>
    <row r="12" spans="1:11" x14ac:dyDescent="0.3">
      <c r="A12" t="s">
        <v>90</v>
      </c>
      <c r="B12">
        <v>20</v>
      </c>
      <c r="C12">
        <v>0</v>
      </c>
      <c r="D12">
        <v>0</v>
      </c>
      <c r="E12">
        <v>0</v>
      </c>
      <c r="F12">
        <f t="shared" ref="F12:F13" si="0">SUM(B12:D12)</f>
        <v>20</v>
      </c>
    </row>
    <row r="13" spans="1:11" x14ac:dyDescent="0.3">
      <c r="A13" t="s">
        <v>13</v>
      </c>
      <c r="B13">
        <v>0</v>
      </c>
      <c r="C13">
        <v>0</v>
      </c>
      <c r="D13">
        <v>40</v>
      </c>
      <c r="E13">
        <v>30</v>
      </c>
      <c r="F13">
        <f t="shared" si="0"/>
        <v>40</v>
      </c>
    </row>
    <row r="14" spans="1:11" x14ac:dyDescent="0.3">
      <c r="A14" t="s">
        <v>91</v>
      </c>
      <c r="B14">
        <f>SUM(B11:B13)</f>
        <v>30</v>
      </c>
      <c r="C14">
        <f t="shared" ref="C14:E14" si="1">SUM(C11:C13)</f>
        <v>20</v>
      </c>
      <c r="D14">
        <f t="shared" si="1"/>
        <v>40</v>
      </c>
      <c r="E14">
        <f t="shared" si="1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07</vt:lpstr>
      <vt:lpstr>01</vt:lpstr>
      <vt:lpstr>02</vt:lpstr>
      <vt:lpstr>sim_reprt</vt:lpstr>
      <vt:lpstr>simplex_practice</vt:lpstr>
      <vt:lpstr>report_03</vt:lpstr>
      <vt:lpstr>03</vt:lpstr>
      <vt:lpstr>06</vt:lpstr>
      <vt:lpstr>04</vt:lpstr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Supriyo Das</dc:creator>
  <cp:lastModifiedBy>Supriyo Das</cp:lastModifiedBy>
  <dcterms:created xsi:type="dcterms:W3CDTF">2026-09-16T14:20:24Z</dcterms:created>
  <dcterms:modified xsi:type="dcterms:W3CDTF">2026-09-16T17:58:39Z</dcterms:modified>
</cp:coreProperties>
</file>