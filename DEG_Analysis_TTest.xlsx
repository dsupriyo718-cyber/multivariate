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2CF67F7-0393-43B1-8D1F-33C9BF281A5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G_Analysi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" i="1" l="1"/>
  <c r="V41" i="1"/>
  <c r="V6" i="1"/>
  <c r="V4" i="1"/>
  <c r="V5" i="1"/>
  <c r="U4" i="1"/>
  <c r="T4" i="1"/>
  <c r="R4" i="1"/>
  <c r="Q4" i="1"/>
  <c r="B45" i="1"/>
  <c r="T41" i="1"/>
  <c r="R41" i="1"/>
  <c r="Q41" i="1"/>
  <c r="S41" i="1" s="1"/>
  <c r="T40" i="1"/>
  <c r="V40" i="1" s="1"/>
  <c r="R40" i="1"/>
  <c r="S40" i="1" s="1"/>
  <c r="Q40" i="1"/>
  <c r="T39" i="1"/>
  <c r="V39" i="1" s="1"/>
  <c r="R39" i="1"/>
  <c r="Q39" i="1"/>
  <c r="S39" i="1" s="1"/>
  <c r="T38" i="1"/>
  <c r="R38" i="1"/>
  <c r="S38" i="1" s="1"/>
  <c r="Q38" i="1"/>
  <c r="T37" i="1"/>
  <c r="V37" i="1" s="1"/>
  <c r="R37" i="1"/>
  <c r="Q37" i="1"/>
  <c r="S37" i="1" s="1"/>
  <c r="T36" i="1"/>
  <c r="V36" i="1" s="1"/>
  <c r="R36" i="1"/>
  <c r="S36" i="1" s="1"/>
  <c r="Q36" i="1"/>
  <c r="T35" i="1"/>
  <c r="V35" i="1" s="1"/>
  <c r="R35" i="1"/>
  <c r="Q35" i="1"/>
  <c r="S35" i="1" s="1"/>
  <c r="T34" i="1"/>
  <c r="R34" i="1"/>
  <c r="S34" i="1" s="1"/>
  <c r="Q34" i="1"/>
  <c r="T33" i="1"/>
  <c r="V33" i="1" s="1"/>
  <c r="R33" i="1"/>
  <c r="Q33" i="1"/>
  <c r="S33" i="1" s="1"/>
  <c r="T32" i="1"/>
  <c r="V32" i="1" s="1"/>
  <c r="R32" i="1"/>
  <c r="S32" i="1" s="1"/>
  <c r="Q32" i="1"/>
  <c r="T31" i="1"/>
  <c r="V31" i="1" s="1"/>
  <c r="R31" i="1"/>
  <c r="Q31" i="1"/>
  <c r="S31" i="1" s="1"/>
  <c r="T30" i="1"/>
  <c r="R30" i="1"/>
  <c r="S30" i="1" s="1"/>
  <c r="Q30" i="1"/>
  <c r="T29" i="1"/>
  <c r="V29" i="1" s="1"/>
  <c r="R29" i="1"/>
  <c r="Q29" i="1"/>
  <c r="S29" i="1" s="1"/>
  <c r="T28" i="1"/>
  <c r="V28" i="1" s="1"/>
  <c r="R28" i="1"/>
  <c r="S28" i="1" s="1"/>
  <c r="Q28" i="1"/>
  <c r="T27" i="1"/>
  <c r="V27" i="1" s="1"/>
  <c r="R27" i="1"/>
  <c r="Q27" i="1"/>
  <c r="S27" i="1" s="1"/>
  <c r="T26" i="1"/>
  <c r="R26" i="1"/>
  <c r="S26" i="1" s="1"/>
  <c r="Q26" i="1"/>
  <c r="T25" i="1"/>
  <c r="V25" i="1" s="1"/>
  <c r="R25" i="1"/>
  <c r="Q25" i="1"/>
  <c r="S25" i="1" s="1"/>
  <c r="T24" i="1"/>
  <c r="V24" i="1" s="1"/>
  <c r="R24" i="1"/>
  <c r="S24" i="1" s="1"/>
  <c r="Q24" i="1"/>
  <c r="T23" i="1"/>
  <c r="V23" i="1" s="1"/>
  <c r="R23" i="1"/>
  <c r="Q23" i="1"/>
  <c r="S23" i="1" s="1"/>
  <c r="T22" i="1"/>
  <c r="V22" i="1" s="1"/>
  <c r="R22" i="1"/>
  <c r="S22" i="1" s="1"/>
  <c r="Q22" i="1"/>
  <c r="T21" i="1"/>
  <c r="V21" i="1" s="1"/>
  <c r="R21" i="1"/>
  <c r="Q21" i="1"/>
  <c r="S21" i="1" s="1"/>
  <c r="T20" i="1"/>
  <c r="V20" i="1" s="1"/>
  <c r="R20" i="1"/>
  <c r="S20" i="1" s="1"/>
  <c r="Q20" i="1"/>
  <c r="T19" i="1"/>
  <c r="R19" i="1"/>
  <c r="Q19" i="1"/>
  <c r="S19" i="1" s="1"/>
  <c r="T18" i="1"/>
  <c r="V18" i="1" s="1"/>
  <c r="R18" i="1"/>
  <c r="S18" i="1" s="1"/>
  <c r="Q18" i="1"/>
  <c r="T17" i="1"/>
  <c r="V17" i="1" s="1"/>
  <c r="R17" i="1"/>
  <c r="Q17" i="1"/>
  <c r="S17" i="1" s="1"/>
  <c r="T16" i="1"/>
  <c r="V16" i="1" s="1"/>
  <c r="R16" i="1"/>
  <c r="S16" i="1" s="1"/>
  <c r="Q16" i="1"/>
  <c r="T15" i="1"/>
  <c r="R15" i="1"/>
  <c r="Q15" i="1"/>
  <c r="S15" i="1" s="1"/>
  <c r="T14" i="1"/>
  <c r="V14" i="1" s="1"/>
  <c r="R14" i="1"/>
  <c r="S14" i="1" s="1"/>
  <c r="Q14" i="1"/>
  <c r="T13" i="1"/>
  <c r="V13" i="1" s="1"/>
  <c r="R13" i="1"/>
  <c r="Q13" i="1"/>
  <c r="S13" i="1" s="1"/>
  <c r="T12" i="1"/>
  <c r="V12" i="1" s="1"/>
  <c r="R12" i="1"/>
  <c r="S12" i="1" s="1"/>
  <c r="Q12" i="1"/>
  <c r="T11" i="1"/>
  <c r="R11" i="1"/>
  <c r="Q11" i="1"/>
  <c r="S11" i="1" s="1"/>
  <c r="T10" i="1"/>
  <c r="V10" i="1" s="1"/>
  <c r="R10" i="1"/>
  <c r="S10" i="1" s="1"/>
  <c r="Q10" i="1"/>
  <c r="T9" i="1"/>
  <c r="V9" i="1" s="1"/>
  <c r="R9" i="1"/>
  <c r="Q9" i="1"/>
  <c r="S9" i="1" s="1"/>
  <c r="T8" i="1"/>
  <c r="V8" i="1" s="1"/>
  <c r="R8" i="1"/>
  <c r="S8" i="1" s="1"/>
  <c r="Q8" i="1"/>
  <c r="T7" i="1"/>
  <c r="R7" i="1"/>
  <c r="Q7" i="1"/>
  <c r="S7" i="1" s="1"/>
  <c r="T6" i="1"/>
  <c r="R6" i="1"/>
  <c r="S6" i="1" s="1"/>
  <c r="Q6" i="1"/>
  <c r="T5" i="1"/>
  <c r="R5" i="1"/>
  <c r="Q5" i="1"/>
  <c r="S5" i="1" s="1"/>
  <c r="V26" i="1" l="1"/>
  <c r="V7" i="1"/>
  <c r="V38" i="1"/>
  <c r="V11" i="1"/>
  <c r="B48" i="1"/>
  <c r="B47" i="1"/>
  <c r="V15" i="1"/>
  <c r="V34" i="1"/>
  <c r="V19" i="1"/>
  <c r="V30" i="1"/>
  <c r="B46" i="1"/>
  <c r="U6" i="1"/>
  <c r="U8" i="1"/>
  <c r="U10" i="1"/>
  <c r="U12" i="1"/>
  <c r="U14" i="1"/>
  <c r="U16" i="1"/>
  <c r="U18" i="1"/>
  <c r="U20" i="1"/>
  <c r="U22" i="1"/>
  <c r="U24" i="1"/>
  <c r="U26" i="1"/>
  <c r="U28" i="1"/>
  <c r="U30" i="1"/>
  <c r="U32" i="1"/>
  <c r="U34" i="1"/>
  <c r="U36" i="1"/>
  <c r="U38" i="1"/>
  <c r="U40" i="1"/>
  <c r="U5" i="1"/>
  <c r="U7" i="1"/>
  <c r="U9" i="1"/>
  <c r="U11" i="1"/>
  <c r="U13" i="1"/>
  <c r="U15" i="1"/>
  <c r="U17" i="1"/>
  <c r="U19" i="1"/>
  <c r="U21" i="1"/>
  <c r="U23" i="1"/>
  <c r="U25" i="1"/>
  <c r="U27" i="1"/>
  <c r="U29" i="1"/>
  <c r="U31" i="1"/>
  <c r="U33" i="1"/>
  <c r="U35" i="1"/>
  <c r="U37" i="1"/>
  <c r="U39" i="1"/>
  <c r="U41" i="1"/>
</calcChain>
</file>

<file path=xl/sharedStrings.xml><?xml version="1.0" encoding="utf-8"?>
<sst xmlns="http://schemas.openxmlformats.org/spreadsheetml/2006/main" count="66" uniqueCount="66">
  <si>
    <t>Gene</t>
  </si>
  <si>
    <t>D1</t>
  </si>
  <si>
    <t>D2</t>
  </si>
  <si>
    <t>D3</t>
  </si>
  <si>
    <t>D4</t>
  </si>
  <si>
    <t>D5</t>
  </si>
  <si>
    <t>D6</t>
  </si>
  <si>
    <t>D7</t>
  </si>
  <si>
    <t>N1</t>
  </si>
  <si>
    <t>N2</t>
  </si>
  <si>
    <t>N3</t>
  </si>
  <si>
    <t>N4</t>
  </si>
  <si>
    <t>N5</t>
  </si>
  <si>
    <t>N6</t>
  </si>
  <si>
    <t>N7</t>
  </si>
  <si>
    <t>N8</t>
  </si>
  <si>
    <t>Mean_D</t>
  </si>
  <si>
    <t>Mean_N</t>
  </si>
  <si>
    <t>log2FC</t>
  </si>
  <si>
    <t>t-test p-value</t>
  </si>
  <si>
    <t>DEG (p&lt;0.05)</t>
  </si>
  <si>
    <t>Regulation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</si>
  <si>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</si>
  <si>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</si>
  <si>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</si>
  <si>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</si>
  <si>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</si>
  <si>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</si>
  <si>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</si>
  <si>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</si>
  <si>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</si>
  <si>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</si>
  <si>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</si>
  <si>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</si>
  <si>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</si>
  <si>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</si>
  <si>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</si>
  <si>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</si>
  <si>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</si>
  <si>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</si>
  <si>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</si>
  <si>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</si>
  <si>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</si>
  <si>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</si>
  <si>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</si>
  <si>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</si>
  <si>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</si>
  <si>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</si>
  <si>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</si>
  <si>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</si>
  <si>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</si>
  <si>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</si>
  <si>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</si>
  <si>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</si>
  <si>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</si>
  <si>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</si>
  <si>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</si>
  <si>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</si>
  <si>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</si>
  <si>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</si>
  <si>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Summary</t>
  </si>
  <si>
    <t>Total genes tested:</t>
  </si>
  <si>
    <t>Total DEGs (p&lt;0.05):</t>
  </si>
  <si>
    <t>Up-regulated DEGs:</t>
  </si>
  <si>
    <t>Down-regulated DEGs:</t>
  </si>
  <si>
    <t>lolog2FCg2FC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</si>
</sst>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E4F0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"/>
  <sheetViews>
    <sheetView tabSelected="1" zoomScaleNormal="100" workbookViewId="0">
      <pane xSplit="1" ySplit="3" topLeftCell="B37" activePane="bottomRight" state="frozen"/>
      <selection pane="topRight" activeCell="B1" sqref="B1"/>
      <selection pane="bottomLeft" activeCell="A4" sqref="A4"/>
      <selection pane="bottomRight" activeCell="G47" sqref="G47"/>
    </sheetView>
  </sheetViews>
  <sheetFormatPr defaultColWidth="8.6640625" defaultRowHeight="14.4" x14ac:dyDescent="0.3"/>
  <cols>
    <col min="1" max="1" width="36.77734375" customWidth="1"/>
    <col min="2" max="16" width="7" customWidth="1"/>
    <col min="17" max="17" width="9" customWidth="1"/>
    <col min="18" max="18" width="8" bestFit="1" customWidth="1"/>
    <col min="19" max="19" width="9" customWidth="1"/>
    <col min="20" max="21" width="12" customWidth="1"/>
    <col min="22" max="22" width="11" customWidth="1"/>
  </cols>
  <sheetData>
    <row r="1" spans="1:22" ht="16.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2" x14ac:dyDescent="0.3">
      <c r="S2" t="s">
        <v>18</v>
      </c>
    </row>
    <row r="3" spans="1:22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65</v>
      </c>
      <c r="T3" s="2" t="s">
        <v>19</v>
      </c>
      <c r="U3" s="2" t="s">
        <v>20</v>
      </c>
      <c r="V3" s="2" t="s">
        <v>21</v>
      </c>
    </row>
    <row r="4" spans="1:22" x14ac:dyDescent="0.3">
      <c r="A4" s="3" t="s">
        <v>22</v>
      </c>
      <c r="B4" s="3">
        <v>2.7</v>
      </c>
      <c r="C4" s="3">
        <v>2.8</v>
      </c>
      <c r="D4" s="3">
        <v>3</v>
      </c>
      <c r="E4" s="3">
        <v>2.7</v>
      </c>
      <c r="F4" s="3">
        <v>3</v>
      </c>
      <c r="G4" s="3">
        <v>2.9</v>
      </c>
      <c r="H4" s="3">
        <v>2.8</v>
      </c>
      <c r="I4" s="3">
        <v>2.7</v>
      </c>
      <c r="J4" s="3">
        <v>2.9</v>
      </c>
      <c r="K4" s="3">
        <v>2.8</v>
      </c>
      <c r="L4" s="3">
        <v>2.7</v>
      </c>
      <c r="M4" s="3">
        <v>3.2</v>
      </c>
      <c r="N4" s="3">
        <v>2.9</v>
      </c>
      <c r="O4" s="3">
        <v>2.9</v>
      </c>
      <c r="P4" s="3">
        <v>2.9</v>
      </c>
      <c r="Q4" s="3">
        <f>AVERAGE(B4:H4)</f>
        <v>2.8428571428571425</v>
      </c>
      <c r="R4" s="3">
        <f>AVERAGE(I4:P4)</f>
        <v>2.8749999999999991</v>
      </c>
      <c r="S4" s="3">
        <f>Q4-R4</f>
        <v>-3.2142857142856585E-2</v>
      </c>
      <c r="T4" s="3">
        <f>TTEST(B4:H4,I4:P4,2,3)</f>
        <v>0.67011084162248347</v>
      </c>
      <c r="U4" s="3" t="str">
        <f>IF(T4&lt;0.05,"Yes","No")</f>
        <v>No</v>
      </c>
      <c r="V4" s="3" t="str">
        <f>IF(T4&lt;0.05,IF(S4&gt;0,"Up","Down"),"-")</f>
        <v>-</v>
      </c>
    </row>
    <row r="5" spans="1:22" x14ac:dyDescent="0.3">
      <c r="A5" s="3" t="s">
        <v>23</v>
      </c>
      <c r="B5" s="3">
        <v>9</v>
      </c>
      <c r="C5" s="3">
        <v>9</v>
      </c>
      <c r="D5" s="3">
        <v>9</v>
      </c>
      <c r="E5" s="3">
        <v>9.1</v>
      </c>
      <c r="F5" s="3">
        <v>9</v>
      </c>
      <c r="G5" s="3">
        <v>9.1999999999999993</v>
      </c>
      <c r="H5" s="3">
        <v>8.6999999999999993</v>
      </c>
      <c r="I5" s="3">
        <v>8.3000000000000007</v>
      </c>
      <c r="J5" s="3">
        <v>8.4</v>
      </c>
      <c r="K5" s="3">
        <v>8.4</v>
      </c>
      <c r="L5" s="3">
        <v>8.5</v>
      </c>
      <c r="M5" s="3">
        <v>8.5</v>
      </c>
      <c r="N5" s="3">
        <v>8.5</v>
      </c>
      <c r="O5" s="3">
        <v>8.1999999999999993</v>
      </c>
      <c r="P5" s="3">
        <v>8</v>
      </c>
      <c r="Q5" s="3">
        <f t="shared" ref="Q4:Q41" si="0">AVERAGE(B5:H5)</f>
        <v>9</v>
      </c>
      <c r="R5" s="3">
        <f t="shared" ref="R4:R41" si="1">AVERAGE(I5:P5)</f>
        <v>8.35</v>
      </c>
      <c r="S5" s="3">
        <f t="shared" ref="S4:S41" si="2">Q5-R5</f>
        <v>0.65000000000000036</v>
      </c>
      <c r="T5" s="3">
        <f t="shared" ref="T4:T41" si="3">TTEST(B5:H5,I5:P5,2,3)</f>
        <v>3.7540787421711497E-6</v>
      </c>
      <c r="U5" s="3" t="str">
        <f t="shared" ref="U4:U41" si="4">IF(T5&lt;0.05,"Yes","No")</f>
        <v>Yes</v>
      </c>
      <c r="V5" s="3" t="str">
        <f>IF(T5&lt;0.05,IF(S5&gt;0,"Up","Down"),"-")</f>
        <v>Up</v>
      </c>
    </row>
    <row r="6" spans="1:22" x14ac:dyDescent="0.3">
      <c r="A6" s="3" t="s">
        <v>24</v>
      </c>
      <c r="B6" s="3">
        <v>4.4000000000000004</v>
      </c>
      <c r="C6" s="3">
        <v>4.5999999999999996</v>
      </c>
      <c r="D6" s="3">
        <v>4.5</v>
      </c>
      <c r="E6" s="3">
        <v>4.4000000000000004</v>
      </c>
      <c r="F6" s="3">
        <v>4.4000000000000004</v>
      </c>
      <c r="G6" s="3">
        <v>4.7</v>
      </c>
      <c r="H6" s="3">
        <v>4.7</v>
      </c>
      <c r="I6" s="3">
        <v>4.5999999999999996</v>
      </c>
      <c r="J6" s="3">
        <v>4.5999999999999996</v>
      </c>
      <c r="K6" s="3">
        <v>4.5</v>
      </c>
      <c r="L6" s="3">
        <v>4.5999999999999996</v>
      </c>
      <c r="M6" s="3">
        <v>4.4000000000000004</v>
      </c>
      <c r="N6" s="3">
        <v>4.5</v>
      </c>
      <c r="O6" s="3">
        <v>4.5999999999999996</v>
      </c>
      <c r="P6" s="3">
        <v>4.4000000000000004</v>
      </c>
      <c r="Q6" s="3">
        <f t="shared" si="0"/>
        <v>4.5285714285714276</v>
      </c>
      <c r="R6" s="3">
        <f t="shared" si="1"/>
        <v>4.5249999999999995</v>
      </c>
      <c r="S6" s="3">
        <f t="shared" si="2"/>
        <v>3.5714285714281147E-3</v>
      </c>
      <c r="T6" s="3">
        <f t="shared" si="3"/>
        <v>0.9543569830167451</v>
      </c>
      <c r="U6" s="3" t="str">
        <f t="shared" si="4"/>
        <v>No</v>
      </c>
      <c r="V6" s="3" t="str">
        <f>IF(T6&lt;0.05,IF(S6&gt;0,"Up","Down"),"-")</f>
        <v>-</v>
      </c>
    </row>
    <row r="7" spans="1:22" x14ac:dyDescent="0.3">
      <c r="A7" s="3" t="s">
        <v>25</v>
      </c>
      <c r="B7" s="3">
        <v>13.2</v>
      </c>
      <c r="C7" s="3">
        <v>13.2</v>
      </c>
      <c r="D7" s="3">
        <v>13.2</v>
      </c>
      <c r="E7" s="3">
        <v>13.2</v>
      </c>
      <c r="F7" s="3">
        <v>13.3</v>
      </c>
      <c r="G7" s="3">
        <v>13.3</v>
      </c>
      <c r="H7" s="3">
        <v>13.2</v>
      </c>
      <c r="I7" s="3">
        <v>12</v>
      </c>
      <c r="J7" s="3">
        <v>12</v>
      </c>
      <c r="K7" s="3">
        <v>12.1</v>
      </c>
      <c r="L7" s="3">
        <v>12.1</v>
      </c>
      <c r="M7" s="3">
        <v>12.2</v>
      </c>
      <c r="N7" s="3">
        <v>12.1</v>
      </c>
      <c r="O7" s="3">
        <v>12.1</v>
      </c>
      <c r="P7" s="3">
        <v>12.1</v>
      </c>
      <c r="Q7" s="3">
        <f t="shared" si="0"/>
        <v>13.228571428571428</v>
      </c>
      <c r="R7" s="3">
        <f t="shared" si="1"/>
        <v>12.087499999999999</v>
      </c>
      <c r="S7" s="3">
        <f t="shared" si="2"/>
        <v>1.1410714285714292</v>
      </c>
      <c r="T7" s="3">
        <f t="shared" si="3"/>
        <v>1.0823746826048991E-14</v>
      </c>
      <c r="U7" s="3" t="str">
        <f t="shared" si="4"/>
        <v>Yes</v>
      </c>
      <c r="V7" s="3" t="str">
        <f t="shared" ref="V4:V41" si="5">IF(T7&lt;0.05,IF(S7&gt;0,"Up","Down"),"-")</f>
        <v>Up</v>
      </c>
    </row>
    <row r="8" spans="1:22" x14ac:dyDescent="0.3">
      <c r="A8" s="3" t="s">
        <v>26</v>
      </c>
      <c r="B8" s="3">
        <v>12.2</v>
      </c>
      <c r="C8" s="3">
        <v>12.2</v>
      </c>
      <c r="D8" s="3">
        <v>12.3</v>
      </c>
      <c r="E8" s="3">
        <v>12.2</v>
      </c>
      <c r="F8" s="3">
        <v>12.2</v>
      </c>
      <c r="G8" s="3">
        <v>12.2</v>
      </c>
      <c r="H8" s="3">
        <v>12.3</v>
      </c>
      <c r="I8" s="3">
        <v>12.2</v>
      </c>
      <c r="J8" s="3">
        <v>12.2</v>
      </c>
      <c r="K8" s="3">
        <v>12.2</v>
      </c>
      <c r="L8" s="3">
        <v>12.2</v>
      </c>
      <c r="M8" s="3">
        <v>12.3</v>
      </c>
      <c r="N8" s="3">
        <v>12.3</v>
      </c>
      <c r="O8" s="3">
        <v>12.3</v>
      </c>
      <c r="P8" s="3">
        <v>12.3</v>
      </c>
      <c r="Q8" s="3">
        <f t="shared" si="0"/>
        <v>12.22857142857143</v>
      </c>
      <c r="R8" s="3">
        <f t="shared" si="1"/>
        <v>12.249999999999998</v>
      </c>
      <c r="S8" s="3">
        <f t="shared" si="2"/>
        <v>-2.1428571428568688E-2</v>
      </c>
      <c r="T8" s="3">
        <f t="shared" si="3"/>
        <v>0.43172483633974068</v>
      </c>
      <c r="U8" s="3" t="str">
        <f t="shared" si="4"/>
        <v>No</v>
      </c>
      <c r="V8" s="3" t="str">
        <f t="shared" si="5"/>
        <v>-</v>
      </c>
    </row>
    <row r="9" spans="1:22" x14ac:dyDescent="0.3">
      <c r="A9" s="3" t="s">
        <v>27</v>
      </c>
      <c r="B9" s="3">
        <v>9.4</v>
      </c>
      <c r="C9" s="3">
        <v>9.4</v>
      </c>
      <c r="D9" s="3">
        <v>9.4</v>
      </c>
      <c r="E9" s="3">
        <v>9.6999999999999993</v>
      </c>
      <c r="F9" s="3">
        <v>9.6999999999999993</v>
      </c>
      <c r="G9" s="3">
        <v>9.6</v>
      </c>
      <c r="H9" s="3">
        <v>9.8000000000000007</v>
      </c>
      <c r="I9" s="3">
        <v>10.7</v>
      </c>
      <c r="J9" s="3">
        <v>10.7</v>
      </c>
      <c r="K9" s="3">
        <v>10.7</v>
      </c>
      <c r="L9" s="3">
        <v>11.1</v>
      </c>
      <c r="M9" s="3">
        <v>11</v>
      </c>
      <c r="N9" s="3">
        <v>11</v>
      </c>
      <c r="O9" s="3">
        <v>11</v>
      </c>
      <c r="P9" s="3">
        <v>11.1</v>
      </c>
      <c r="Q9" s="3">
        <f t="shared" si="0"/>
        <v>9.571428571428573</v>
      </c>
      <c r="R9" s="3">
        <f t="shared" si="1"/>
        <v>10.912499999999998</v>
      </c>
      <c r="S9" s="3">
        <f t="shared" si="2"/>
        <v>-1.3410714285714249</v>
      </c>
      <c r="T9" s="3">
        <f t="shared" si="3"/>
        <v>1.8212456623094883E-9</v>
      </c>
      <c r="U9" s="3" t="str">
        <f t="shared" si="4"/>
        <v>Yes</v>
      </c>
      <c r="V9" s="3" t="str">
        <f t="shared" si="5"/>
        <v>Down</v>
      </c>
    </row>
    <row r="10" spans="1:22" x14ac:dyDescent="0.3">
      <c r="A10" s="3" t="s">
        <v>28</v>
      </c>
      <c r="B10" s="3">
        <v>4.3</v>
      </c>
      <c r="C10" s="3">
        <v>4.2</v>
      </c>
      <c r="D10" s="3">
        <v>4.2</v>
      </c>
      <c r="E10" s="3">
        <v>4.0999999999999996</v>
      </c>
      <c r="F10" s="3">
        <v>4.3</v>
      </c>
      <c r="G10" s="3">
        <v>4.3</v>
      </c>
      <c r="H10" s="3">
        <v>4</v>
      </c>
      <c r="I10" s="3">
        <v>4.2</v>
      </c>
      <c r="J10" s="3">
        <v>4.4000000000000004</v>
      </c>
      <c r="K10" s="3">
        <v>4.3</v>
      </c>
      <c r="L10" s="3">
        <v>4.3</v>
      </c>
      <c r="M10" s="3">
        <v>4.0999999999999996</v>
      </c>
      <c r="N10" s="3">
        <v>4.2</v>
      </c>
      <c r="O10" s="3">
        <v>4.3</v>
      </c>
      <c r="P10" s="3">
        <v>4.5</v>
      </c>
      <c r="Q10" s="3">
        <f t="shared" si="0"/>
        <v>4.2</v>
      </c>
      <c r="R10" s="3">
        <f t="shared" si="1"/>
        <v>4.2875000000000005</v>
      </c>
      <c r="S10" s="3">
        <f t="shared" si="2"/>
        <v>-8.7500000000000355E-2</v>
      </c>
      <c r="T10" s="3">
        <f t="shared" si="3"/>
        <v>0.18189091453708212</v>
      </c>
      <c r="U10" s="3" t="str">
        <f t="shared" si="4"/>
        <v>No</v>
      </c>
      <c r="V10" s="3" t="str">
        <f t="shared" si="5"/>
        <v>-</v>
      </c>
    </row>
    <row r="11" spans="1:22" x14ac:dyDescent="0.3">
      <c r="A11" s="3" t="s">
        <v>29</v>
      </c>
      <c r="B11" s="3">
        <v>10.199999999999999</v>
      </c>
      <c r="C11" s="3">
        <v>10</v>
      </c>
      <c r="D11" s="3">
        <v>10.1</v>
      </c>
      <c r="E11" s="3">
        <v>10</v>
      </c>
      <c r="F11" s="3">
        <v>10</v>
      </c>
      <c r="G11" s="3">
        <v>9.9</v>
      </c>
      <c r="H11" s="3">
        <v>10.3</v>
      </c>
      <c r="I11" s="3">
        <v>11.9</v>
      </c>
      <c r="J11" s="3">
        <v>11.9</v>
      </c>
      <c r="K11" s="3">
        <v>11.9</v>
      </c>
      <c r="L11" s="3">
        <v>11.8</v>
      </c>
      <c r="M11" s="3">
        <v>11.8</v>
      </c>
      <c r="N11" s="3">
        <v>11.8</v>
      </c>
      <c r="O11" s="3">
        <v>12.2</v>
      </c>
      <c r="P11" s="3">
        <v>12.3</v>
      </c>
      <c r="Q11" s="3">
        <f t="shared" si="0"/>
        <v>10.071428571428571</v>
      </c>
      <c r="R11" s="3">
        <f t="shared" si="1"/>
        <v>11.95</v>
      </c>
      <c r="S11" s="3">
        <f t="shared" si="2"/>
        <v>-1.8785714285714281</v>
      </c>
      <c r="T11" s="3">
        <f t="shared" si="3"/>
        <v>2.1824192400898769E-11</v>
      </c>
      <c r="U11" s="3" t="str">
        <f t="shared" si="4"/>
        <v>Yes</v>
      </c>
      <c r="V11" s="3" t="str">
        <f t="shared" si="5"/>
        <v>Down</v>
      </c>
    </row>
    <row r="12" spans="1:22" x14ac:dyDescent="0.3">
      <c r="A12" s="3" t="s">
        <v>30</v>
      </c>
      <c r="B12" s="3">
        <v>7.7</v>
      </c>
      <c r="C12" s="3">
        <v>7.8</v>
      </c>
      <c r="D12" s="3">
        <v>7.9</v>
      </c>
      <c r="E12" s="3">
        <v>7.6</v>
      </c>
      <c r="F12" s="3">
        <v>7.8</v>
      </c>
      <c r="G12" s="3">
        <v>7.8</v>
      </c>
      <c r="H12" s="3">
        <v>7.8</v>
      </c>
      <c r="I12" s="3">
        <v>7.5</v>
      </c>
      <c r="J12" s="3">
        <v>7.8</v>
      </c>
      <c r="K12" s="3">
        <v>7.7</v>
      </c>
      <c r="L12" s="3">
        <v>7.6</v>
      </c>
      <c r="M12" s="3">
        <v>7.5</v>
      </c>
      <c r="N12" s="3">
        <v>7.9</v>
      </c>
      <c r="O12" s="3">
        <v>7.6</v>
      </c>
      <c r="P12" s="3">
        <v>7.8</v>
      </c>
      <c r="Q12" s="3">
        <f t="shared" si="0"/>
        <v>7.7714285714285705</v>
      </c>
      <c r="R12" s="3">
        <f t="shared" si="1"/>
        <v>7.6749999999999998</v>
      </c>
      <c r="S12" s="3">
        <f t="shared" si="2"/>
        <v>9.6428571428570642E-2</v>
      </c>
      <c r="T12" s="3">
        <f t="shared" si="3"/>
        <v>0.15607027911010699</v>
      </c>
      <c r="U12" s="3" t="str">
        <f t="shared" si="4"/>
        <v>No</v>
      </c>
      <c r="V12" s="3" t="str">
        <f t="shared" si="5"/>
        <v>-</v>
      </c>
    </row>
    <row r="13" spans="1:22" x14ac:dyDescent="0.3">
      <c r="A13" s="3" t="s">
        <v>31</v>
      </c>
      <c r="B13" s="3">
        <v>5.0999999999999996</v>
      </c>
      <c r="C13" s="3">
        <v>5.0999999999999996</v>
      </c>
      <c r="D13" s="3">
        <v>5.0999999999999996</v>
      </c>
      <c r="E13" s="3">
        <v>5.6</v>
      </c>
      <c r="F13" s="3">
        <v>5.0999999999999996</v>
      </c>
      <c r="G13" s="3">
        <v>5.4</v>
      </c>
      <c r="H13" s="3">
        <v>5.3</v>
      </c>
      <c r="I13" s="3">
        <v>4.5999999999999996</v>
      </c>
      <c r="J13" s="3">
        <v>5</v>
      </c>
      <c r="K13" s="3">
        <v>4.7</v>
      </c>
      <c r="L13" s="3">
        <v>5.0999999999999996</v>
      </c>
      <c r="M13" s="3">
        <v>4.9000000000000004</v>
      </c>
      <c r="N13" s="3">
        <v>4.8</v>
      </c>
      <c r="O13" s="3">
        <v>5.0999999999999996</v>
      </c>
      <c r="P13" s="3">
        <v>4.8</v>
      </c>
      <c r="Q13" s="3">
        <f t="shared" si="0"/>
        <v>5.242857142857142</v>
      </c>
      <c r="R13" s="3">
        <f t="shared" si="1"/>
        <v>4.8749999999999991</v>
      </c>
      <c r="S13" s="3">
        <f t="shared" si="2"/>
        <v>0.36785714285714288</v>
      </c>
      <c r="T13" s="3">
        <f t="shared" si="3"/>
        <v>2.8470673652200829E-3</v>
      </c>
      <c r="U13" s="3" t="str">
        <f t="shared" si="4"/>
        <v>Yes</v>
      </c>
      <c r="V13" s="3" t="str">
        <f t="shared" si="5"/>
        <v>Up</v>
      </c>
    </row>
    <row r="14" spans="1:22" x14ac:dyDescent="0.3">
      <c r="A14" s="3" t="s">
        <v>32</v>
      </c>
      <c r="B14" s="3">
        <v>3.5</v>
      </c>
      <c r="C14" s="3">
        <v>3.6</v>
      </c>
      <c r="D14" s="3">
        <v>3.2</v>
      </c>
      <c r="E14" s="3">
        <v>3.4</v>
      </c>
      <c r="F14" s="3">
        <v>3.5</v>
      </c>
      <c r="G14" s="3">
        <v>3.4</v>
      </c>
      <c r="H14" s="3">
        <v>3.5</v>
      </c>
      <c r="I14" s="3">
        <v>3.5</v>
      </c>
      <c r="J14" s="3">
        <v>3.4</v>
      </c>
      <c r="K14" s="3">
        <v>3.3</v>
      </c>
      <c r="L14" s="3">
        <v>3.4</v>
      </c>
      <c r="M14" s="3">
        <v>3.3</v>
      </c>
      <c r="N14" s="3">
        <v>3.4</v>
      </c>
      <c r="O14" s="3">
        <v>3.5</v>
      </c>
      <c r="P14" s="3">
        <v>3.2</v>
      </c>
      <c r="Q14" s="3">
        <f t="shared" si="0"/>
        <v>3.4428571428571431</v>
      </c>
      <c r="R14" s="3">
        <f t="shared" si="1"/>
        <v>3.3749999999999996</v>
      </c>
      <c r="S14" s="3">
        <f t="shared" si="2"/>
        <v>6.7857142857143504E-2</v>
      </c>
      <c r="T14" s="3">
        <f t="shared" si="3"/>
        <v>0.28416896405238562</v>
      </c>
      <c r="U14" s="3" t="str">
        <f t="shared" si="4"/>
        <v>No</v>
      </c>
      <c r="V14" s="3" t="str">
        <f t="shared" si="5"/>
        <v>-</v>
      </c>
    </row>
    <row r="15" spans="1:22" x14ac:dyDescent="0.3">
      <c r="A15" s="3" t="s">
        <v>33</v>
      </c>
      <c r="B15" s="3">
        <v>5.6</v>
      </c>
      <c r="C15" s="3">
        <v>5.0999999999999996</v>
      </c>
      <c r="D15" s="3">
        <v>5.6</v>
      </c>
      <c r="E15" s="3">
        <v>5.4</v>
      </c>
      <c r="F15" s="3">
        <v>5</v>
      </c>
      <c r="G15" s="3">
        <v>5.7</v>
      </c>
      <c r="H15" s="3">
        <v>5.6</v>
      </c>
      <c r="I15" s="3">
        <v>4.3</v>
      </c>
      <c r="J15" s="3">
        <v>4.4000000000000004</v>
      </c>
      <c r="K15" s="3">
        <v>4.4000000000000004</v>
      </c>
      <c r="L15" s="3">
        <v>4.2</v>
      </c>
      <c r="M15" s="3">
        <v>4.4000000000000004</v>
      </c>
      <c r="N15" s="3">
        <v>4.4000000000000004</v>
      </c>
      <c r="O15" s="3">
        <v>4.0999999999999996</v>
      </c>
      <c r="P15" s="3">
        <v>4.4000000000000004</v>
      </c>
      <c r="Q15" s="3">
        <f t="shared" si="0"/>
        <v>5.4285714285714288</v>
      </c>
      <c r="R15" s="3">
        <f t="shared" si="1"/>
        <v>4.3250000000000002</v>
      </c>
      <c r="S15" s="3">
        <f t="shared" si="2"/>
        <v>1.1035714285714286</v>
      </c>
      <c r="T15" s="3">
        <f t="shared" si="3"/>
        <v>1.059181912607176E-5</v>
      </c>
      <c r="U15" s="3" t="str">
        <f t="shared" si="4"/>
        <v>Yes</v>
      </c>
      <c r="V15" s="3" t="str">
        <f t="shared" si="5"/>
        <v>Up</v>
      </c>
    </row>
    <row r="16" spans="1:22" x14ac:dyDescent="0.3">
      <c r="A16" s="3" t="s">
        <v>34</v>
      </c>
      <c r="B16" s="3">
        <v>3.4</v>
      </c>
      <c r="C16" s="3">
        <v>3.8</v>
      </c>
      <c r="D16" s="3">
        <v>3.6</v>
      </c>
      <c r="E16" s="3">
        <v>3.4</v>
      </c>
      <c r="F16" s="3">
        <v>3.4</v>
      </c>
      <c r="G16" s="3">
        <v>3.5</v>
      </c>
      <c r="H16" s="3">
        <v>3.5</v>
      </c>
      <c r="I16" s="3">
        <v>3.6</v>
      </c>
      <c r="J16" s="3">
        <v>3.3</v>
      </c>
      <c r="K16" s="3">
        <v>3.7</v>
      </c>
      <c r="L16" s="3">
        <v>3.3</v>
      </c>
      <c r="M16" s="3">
        <v>3.3</v>
      </c>
      <c r="N16" s="3">
        <v>3.6</v>
      </c>
      <c r="O16" s="3">
        <v>3.5</v>
      </c>
      <c r="P16" s="3">
        <v>3.6</v>
      </c>
      <c r="Q16" s="3">
        <f t="shared" si="0"/>
        <v>3.5142857142857138</v>
      </c>
      <c r="R16" s="3">
        <f t="shared" si="1"/>
        <v>3.4875000000000007</v>
      </c>
      <c r="S16" s="3">
        <f t="shared" si="2"/>
        <v>2.678571428571308E-2</v>
      </c>
      <c r="T16" s="3">
        <f t="shared" si="3"/>
        <v>0.74371514368801317</v>
      </c>
      <c r="U16" s="3" t="str">
        <f t="shared" si="4"/>
        <v>No</v>
      </c>
      <c r="V16" s="3" t="str">
        <f t="shared" si="5"/>
        <v>-</v>
      </c>
    </row>
    <row r="17" spans="1:22" x14ac:dyDescent="0.3">
      <c r="A17" s="3" t="s">
        <v>35</v>
      </c>
      <c r="B17" s="3">
        <v>12.8</v>
      </c>
      <c r="C17" s="3">
        <v>12.8</v>
      </c>
      <c r="D17" s="3">
        <v>12.9</v>
      </c>
      <c r="E17" s="3">
        <v>13</v>
      </c>
      <c r="F17" s="3">
        <v>12.8</v>
      </c>
      <c r="G17" s="3">
        <v>12.9</v>
      </c>
      <c r="H17" s="3">
        <v>13</v>
      </c>
      <c r="I17" s="3">
        <v>11.6</v>
      </c>
      <c r="J17" s="3">
        <v>11.6</v>
      </c>
      <c r="K17" s="3">
        <v>11.6</v>
      </c>
      <c r="L17" s="3">
        <v>11.5</v>
      </c>
      <c r="M17" s="3">
        <v>11.6</v>
      </c>
      <c r="N17" s="3">
        <v>11.6</v>
      </c>
      <c r="O17" s="3">
        <v>11.6</v>
      </c>
      <c r="P17" s="3">
        <v>11.7</v>
      </c>
      <c r="Q17" s="3">
        <f t="shared" si="0"/>
        <v>12.885714285714286</v>
      </c>
      <c r="R17" s="3">
        <f t="shared" si="1"/>
        <v>11.6</v>
      </c>
      <c r="S17" s="3">
        <f t="shared" si="2"/>
        <v>1.2857142857142865</v>
      </c>
      <c r="T17" s="3">
        <f t="shared" si="3"/>
        <v>3.949644858672044E-11</v>
      </c>
      <c r="U17" s="3" t="str">
        <f t="shared" si="4"/>
        <v>Yes</v>
      </c>
      <c r="V17" s="3" t="str">
        <f t="shared" si="5"/>
        <v>Up</v>
      </c>
    </row>
    <row r="18" spans="1:22" x14ac:dyDescent="0.3">
      <c r="A18" s="3" t="s">
        <v>36</v>
      </c>
      <c r="B18" s="3">
        <v>4.8</v>
      </c>
      <c r="C18" s="3">
        <v>4.9000000000000004</v>
      </c>
      <c r="D18" s="3">
        <v>4.7</v>
      </c>
      <c r="E18" s="3">
        <v>4.8</v>
      </c>
      <c r="F18" s="3">
        <v>4.7</v>
      </c>
      <c r="G18" s="3">
        <v>4.9000000000000004</v>
      </c>
      <c r="H18" s="3">
        <v>4.8</v>
      </c>
      <c r="I18" s="3">
        <v>4.7</v>
      </c>
      <c r="J18" s="3">
        <v>4.9000000000000004</v>
      </c>
      <c r="K18" s="3">
        <v>4.8</v>
      </c>
      <c r="L18" s="3">
        <v>4.9000000000000004</v>
      </c>
      <c r="M18" s="3">
        <v>4.7</v>
      </c>
      <c r="N18" s="3">
        <v>4.5999999999999996</v>
      </c>
      <c r="O18" s="3">
        <v>4.5999999999999996</v>
      </c>
      <c r="P18" s="3">
        <v>4.5999999999999996</v>
      </c>
      <c r="Q18" s="3">
        <f t="shared" si="0"/>
        <v>4.7999999999999989</v>
      </c>
      <c r="R18" s="3">
        <f t="shared" si="1"/>
        <v>4.7250000000000005</v>
      </c>
      <c r="S18" s="3">
        <f t="shared" si="2"/>
        <v>7.4999999999998401E-2</v>
      </c>
      <c r="T18" s="3">
        <f t="shared" si="3"/>
        <v>0.19641946290338561</v>
      </c>
      <c r="U18" s="3" t="str">
        <f t="shared" si="4"/>
        <v>No</v>
      </c>
      <c r="V18" s="3" t="str">
        <f t="shared" si="5"/>
        <v>-</v>
      </c>
    </row>
    <row r="19" spans="1:22" x14ac:dyDescent="0.3">
      <c r="A19" s="3" t="s">
        <v>37</v>
      </c>
      <c r="B19" s="3">
        <v>10.7</v>
      </c>
      <c r="C19" s="3">
        <v>10.6</v>
      </c>
      <c r="D19" s="3">
        <v>10.7</v>
      </c>
      <c r="E19" s="3">
        <v>10.6</v>
      </c>
      <c r="F19" s="3">
        <v>10.6</v>
      </c>
      <c r="G19" s="3">
        <v>10.6</v>
      </c>
      <c r="H19" s="3">
        <v>11</v>
      </c>
      <c r="I19" s="3">
        <v>12.5</v>
      </c>
      <c r="J19" s="3">
        <v>12.5</v>
      </c>
      <c r="K19" s="3">
        <v>12.5</v>
      </c>
      <c r="L19" s="3">
        <v>12.4</v>
      </c>
      <c r="M19" s="3">
        <v>12.4</v>
      </c>
      <c r="N19" s="3">
        <v>12.4</v>
      </c>
      <c r="O19" s="3">
        <v>12.8</v>
      </c>
      <c r="P19" s="3">
        <v>12.8</v>
      </c>
      <c r="Q19" s="3">
        <f t="shared" si="0"/>
        <v>10.685714285714285</v>
      </c>
      <c r="R19" s="3">
        <f t="shared" si="1"/>
        <v>12.5375</v>
      </c>
      <c r="S19" s="3">
        <f t="shared" si="2"/>
        <v>-1.8517857142857146</v>
      </c>
      <c r="T19" s="3">
        <f t="shared" si="3"/>
        <v>7.3263275888213505E-12</v>
      </c>
      <c r="U19" s="3" t="str">
        <f t="shared" si="4"/>
        <v>Yes</v>
      </c>
      <c r="V19" s="3" t="str">
        <f t="shared" si="5"/>
        <v>Down</v>
      </c>
    </row>
    <row r="20" spans="1:22" x14ac:dyDescent="0.3">
      <c r="A20" s="3" t="s">
        <v>38</v>
      </c>
      <c r="B20" s="3">
        <v>4.5999999999999996</v>
      </c>
      <c r="C20" s="3">
        <v>4.7</v>
      </c>
      <c r="D20" s="3">
        <v>4.5</v>
      </c>
      <c r="E20" s="3">
        <v>4.5</v>
      </c>
      <c r="F20" s="3">
        <v>4.4000000000000004</v>
      </c>
      <c r="G20" s="3">
        <v>4.3</v>
      </c>
      <c r="H20" s="3">
        <v>4.5</v>
      </c>
      <c r="I20" s="3">
        <v>4.5999999999999996</v>
      </c>
      <c r="J20" s="3">
        <v>4.4000000000000004</v>
      </c>
      <c r="K20" s="3">
        <v>4.3</v>
      </c>
      <c r="L20" s="3">
        <v>4.5</v>
      </c>
      <c r="M20" s="3">
        <v>4.5</v>
      </c>
      <c r="N20" s="3">
        <v>4.7</v>
      </c>
      <c r="O20" s="3">
        <v>4.5999999999999996</v>
      </c>
      <c r="P20" s="3">
        <v>4.4000000000000004</v>
      </c>
      <c r="Q20" s="3">
        <f t="shared" si="0"/>
        <v>4.5000000000000009</v>
      </c>
      <c r="R20" s="3">
        <f t="shared" si="1"/>
        <v>4.5</v>
      </c>
      <c r="S20" s="3">
        <f t="shared" si="2"/>
        <v>0</v>
      </c>
      <c r="T20" s="3">
        <f t="shared" si="3"/>
        <v>1</v>
      </c>
      <c r="U20" s="3" t="str">
        <f t="shared" si="4"/>
        <v>No</v>
      </c>
      <c r="V20" s="3" t="str">
        <f t="shared" si="5"/>
        <v>-</v>
      </c>
    </row>
    <row r="21" spans="1:22" x14ac:dyDescent="0.3">
      <c r="A21" s="3" t="s">
        <v>39</v>
      </c>
      <c r="B21" s="3">
        <v>3.1</v>
      </c>
      <c r="C21" s="3">
        <v>3</v>
      </c>
      <c r="D21" s="3">
        <v>3.1</v>
      </c>
      <c r="E21" s="3">
        <v>2.8</v>
      </c>
      <c r="F21" s="3">
        <v>2.8</v>
      </c>
      <c r="G21" s="3">
        <v>2.9</v>
      </c>
      <c r="H21" s="3">
        <v>3.1</v>
      </c>
      <c r="I21" s="3">
        <v>3.2</v>
      </c>
      <c r="J21" s="3">
        <v>3.2</v>
      </c>
      <c r="K21" s="3">
        <v>3.1</v>
      </c>
      <c r="L21" s="3">
        <v>3.1</v>
      </c>
      <c r="M21" s="3">
        <v>3.1</v>
      </c>
      <c r="N21" s="3">
        <v>3</v>
      </c>
      <c r="O21" s="3">
        <v>3.1</v>
      </c>
      <c r="P21" s="3">
        <v>3</v>
      </c>
      <c r="Q21" s="3">
        <f t="shared" si="0"/>
        <v>2.9714285714285715</v>
      </c>
      <c r="R21" s="3">
        <f t="shared" si="1"/>
        <v>3.1</v>
      </c>
      <c r="S21" s="3">
        <f t="shared" si="2"/>
        <v>-0.12857142857142856</v>
      </c>
      <c r="T21" s="3">
        <f t="shared" si="3"/>
        <v>5.5823797686760324E-2</v>
      </c>
      <c r="U21" s="3" t="str">
        <f t="shared" si="4"/>
        <v>No</v>
      </c>
      <c r="V21" s="3" t="str">
        <f t="shared" si="5"/>
        <v>-</v>
      </c>
    </row>
    <row r="22" spans="1:22" x14ac:dyDescent="0.3">
      <c r="A22" s="3" t="s">
        <v>40</v>
      </c>
      <c r="B22" s="3">
        <v>3.1</v>
      </c>
      <c r="C22" s="3">
        <v>3.2</v>
      </c>
      <c r="D22" s="3">
        <v>3.5</v>
      </c>
      <c r="E22" s="3">
        <v>3.3</v>
      </c>
      <c r="F22" s="3">
        <v>3.2</v>
      </c>
      <c r="G22" s="3">
        <v>3.2</v>
      </c>
      <c r="H22" s="3">
        <v>3.2</v>
      </c>
      <c r="I22" s="3">
        <v>3.3</v>
      </c>
      <c r="J22" s="3">
        <v>3.5</v>
      </c>
      <c r="K22" s="3">
        <v>3.5</v>
      </c>
      <c r="L22" s="3">
        <v>3.5</v>
      </c>
      <c r="M22" s="3">
        <v>3.6</v>
      </c>
      <c r="N22" s="3">
        <v>3.3</v>
      </c>
      <c r="O22" s="3">
        <v>2.9</v>
      </c>
      <c r="P22" s="3">
        <v>3.3</v>
      </c>
      <c r="Q22" s="3">
        <f t="shared" si="0"/>
        <v>3.2428571428571429</v>
      </c>
      <c r="R22" s="3">
        <f t="shared" si="1"/>
        <v>3.3625000000000003</v>
      </c>
      <c r="S22" s="3">
        <f t="shared" si="2"/>
        <v>-0.11964285714285738</v>
      </c>
      <c r="T22" s="3">
        <f t="shared" si="3"/>
        <v>0.21645217946071638</v>
      </c>
      <c r="U22" s="3" t="str">
        <f t="shared" si="4"/>
        <v>No</v>
      </c>
      <c r="V22" s="3" t="str">
        <f t="shared" si="5"/>
        <v>-</v>
      </c>
    </row>
    <row r="23" spans="1:22" x14ac:dyDescent="0.3">
      <c r="A23" s="3" t="s">
        <v>41</v>
      </c>
      <c r="B23" s="3">
        <v>3.9</v>
      </c>
      <c r="C23" s="3">
        <v>3.8</v>
      </c>
      <c r="D23" s="3">
        <v>3.8</v>
      </c>
      <c r="E23" s="3">
        <v>3.9</v>
      </c>
      <c r="F23" s="3">
        <v>4.0999999999999996</v>
      </c>
      <c r="G23" s="3">
        <v>4</v>
      </c>
      <c r="H23" s="3">
        <v>3.8</v>
      </c>
      <c r="I23" s="3">
        <v>3.8</v>
      </c>
      <c r="J23" s="3">
        <v>3.9</v>
      </c>
      <c r="K23" s="3">
        <v>3.9</v>
      </c>
      <c r="L23" s="3">
        <v>3.7</v>
      </c>
      <c r="M23" s="3">
        <v>3.8</v>
      </c>
      <c r="N23" s="3">
        <v>3.7</v>
      </c>
      <c r="O23" s="3">
        <v>3.9</v>
      </c>
      <c r="P23" s="3">
        <v>3.5</v>
      </c>
      <c r="Q23" s="3">
        <f t="shared" si="0"/>
        <v>3.9</v>
      </c>
      <c r="R23" s="3">
        <f t="shared" si="1"/>
        <v>3.7749999999999999</v>
      </c>
      <c r="S23" s="3">
        <f t="shared" si="2"/>
        <v>0.125</v>
      </c>
      <c r="T23" s="3">
        <f t="shared" si="3"/>
        <v>7.9483378442041175E-2</v>
      </c>
      <c r="U23" s="3" t="str">
        <f t="shared" si="4"/>
        <v>No</v>
      </c>
      <c r="V23" s="3" t="str">
        <f t="shared" si="5"/>
        <v>-</v>
      </c>
    </row>
    <row r="24" spans="1:22" x14ac:dyDescent="0.3">
      <c r="A24" s="3" t="s">
        <v>42</v>
      </c>
      <c r="B24" s="3">
        <v>13.2</v>
      </c>
      <c r="C24" s="3">
        <v>13.2</v>
      </c>
      <c r="D24" s="3">
        <v>13.3</v>
      </c>
      <c r="E24" s="3">
        <v>13.3</v>
      </c>
      <c r="F24" s="3">
        <v>13.3</v>
      </c>
      <c r="G24" s="3">
        <v>13.3</v>
      </c>
      <c r="H24" s="3">
        <v>13.6</v>
      </c>
      <c r="I24" s="3">
        <v>11.8</v>
      </c>
      <c r="J24" s="3">
        <v>11.9</v>
      </c>
      <c r="K24" s="3">
        <v>11.8</v>
      </c>
      <c r="L24" s="3">
        <v>11.9</v>
      </c>
      <c r="M24" s="3">
        <v>11.9</v>
      </c>
      <c r="N24" s="3">
        <v>11.9</v>
      </c>
      <c r="O24" s="3">
        <v>12.5</v>
      </c>
      <c r="P24" s="3">
        <v>12.5</v>
      </c>
      <c r="Q24" s="3">
        <f t="shared" si="0"/>
        <v>13.314285714285713</v>
      </c>
      <c r="R24" s="3">
        <f t="shared" si="1"/>
        <v>12.025</v>
      </c>
      <c r="S24" s="3">
        <f t="shared" si="2"/>
        <v>1.2892857142857128</v>
      </c>
      <c r="T24" s="3">
        <f t="shared" si="3"/>
        <v>6.0352465830748821E-7</v>
      </c>
      <c r="U24" s="3" t="str">
        <f t="shared" si="4"/>
        <v>Yes</v>
      </c>
      <c r="V24" s="3" t="str">
        <f t="shared" si="5"/>
        <v>Up</v>
      </c>
    </row>
    <row r="25" spans="1:22" x14ac:dyDescent="0.3">
      <c r="A25" s="3" t="s">
        <v>43</v>
      </c>
      <c r="B25" s="3">
        <v>3.6</v>
      </c>
      <c r="C25" s="3">
        <v>3.5</v>
      </c>
      <c r="D25" s="3">
        <v>3.5</v>
      </c>
      <c r="E25" s="3">
        <v>3.5</v>
      </c>
      <c r="F25" s="3">
        <v>3.7</v>
      </c>
      <c r="G25" s="3">
        <v>3.6</v>
      </c>
      <c r="H25" s="3">
        <v>3.9</v>
      </c>
      <c r="I25" s="3">
        <v>4.0999999999999996</v>
      </c>
      <c r="J25" s="3">
        <v>3.6</v>
      </c>
      <c r="K25" s="3">
        <v>4</v>
      </c>
      <c r="L25" s="3">
        <v>3.8</v>
      </c>
      <c r="M25" s="3">
        <v>3.7</v>
      </c>
      <c r="N25" s="3">
        <v>3.7</v>
      </c>
      <c r="O25" s="3">
        <v>3.8</v>
      </c>
      <c r="P25" s="3">
        <v>3.8</v>
      </c>
      <c r="Q25" s="3">
        <f t="shared" si="0"/>
        <v>3.6142857142857143</v>
      </c>
      <c r="R25" s="3">
        <f t="shared" si="1"/>
        <v>3.8125</v>
      </c>
      <c r="S25" s="3">
        <f t="shared" si="2"/>
        <v>-0.19821428571428568</v>
      </c>
      <c r="T25" s="3">
        <f t="shared" si="3"/>
        <v>2.8066095108048032E-2</v>
      </c>
      <c r="U25" s="3" t="str">
        <f t="shared" si="4"/>
        <v>Yes</v>
      </c>
      <c r="V25" s="3" t="str">
        <f t="shared" si="5"/>
        <v>Down</v>
      </c>
    </row>
    <row r="26" spans="1:22" x14ac:dyDescent="0.3">
      <c r="A26" s="3" t="s">
        <v>44</v>
      </c>
      <c r="B26" s="3">
        <v>9.1999999999999993</v>
      </c>
      <c r="C26" s="3">
        <v>9.3000000000000007</v>
      </c>
      <c r="D26" s="3">
        <v>9.3000000000000007</v>
      </c>
      <c r="E26" s="3">
        <v>9.5</v>
      </c>
      <c r="F26" s="3">
        <v>9.5</v>
      </c>
      <c r="G26" s="3">
        <v>9.6</v>
      </c>
      <c r="H26" s="3">
        <v>9.6999999999999993</v>
      </c>
      <c r="I26" s="3">
        <v>10.5</v>
      </c>
      <c r="J26" s="3">
        <v>10.5</v>
      </c>
      <c r="K26" s="3">
        <v>10.5</v>
      </c>
      <c r="L26" s="3">
        <v>10.8</v>
      </c>
      <c r="M26" s="3">
        <v>10.8</v>
      </c>
      <c r="N26" s="3">
        <v>10.7</v>
      </c>
      <c r="O26" s="3">
        <v>10.8</v>
      </c>
      <c r="P26" s="3">
        <v>10.9</v>
      </c>
      <c r="Q26" s="3">
        <f t="shared" si="0"/>
        <v>9.4428571428571413</v>
      </c>
      <c r="R26" s="3">
        <f t="shared" si="1"/>
        <v>10.6875</v>
      </c>
      <c r="S26" s="3">
        <f t="shared" si="2"/>
        <v>-1.2446428571428587</v>
      </c>
      <c r="T26" s="3">
        <f t="shared" si="3"/>
        <v>7.2565031557922657E-9</v>
      </c>
      <c r="U26" s="3" t="str">
        <f t="shared" si="4"/>
        <v>Yes</v>
      </c>
      <c r="V26" s="3" t="str">
        <f t="shared" si="5"/>
        <v>Down</v>
      </c>
    </row>
    <row r="27" spans="1:22" x14ac:dyDescent="0.3">
      <c r="A27" s="3" t="s">
        <v>45</v>
      </c>
      <c r="B27" s="3">
        <v>3.9</v>
      </c>
      <c r="C27" s="3">
        <v>4.2</v>
      </c>
      <c r="D27" s="3">
        <v>4.0999999999999996</v>
      </c>
      <c r="E27" s="3">
        <v>4.4000000000000004</v>
      </c>
      <c r="F27" s="3">
        <v>4.4000000000000004</v>
      </c>
      <c r="G27" s="3">
        <v>4.5999999999999996</v>
      </c>
      <c r="H27" s="3">
        <v>4.0999999999999996</v>
      </c>
      <c r="I27" s="3">
        <v>4.4000000000000004</v>
      </c>
      <c r="J27" s="3">
        <v>4.2</v>
      </c>
      <c r="K27" s="3">
        <v>4.3</v>
      </c>
      <c r="L27" s="3">
        <v>4.5999999999999996</v>
      </c>
      <c r="M27" s="3">
        <v>4.5</v>
      </c>
      <c r="N27" s="3">
        <v>4.3</v>
      </c>
      <c r="O27" s="3">
        <v>4.7</v>
      </c>
      <c r="P27" s="3">
        <v>4.3</v>
      </c>
      <c r="Q27" s="3">
        <f t="shared" si="0"/>
        <v>4.2428571428571429</v>
      </c>
      <c r="R27" s="3">
        <f t="shared" si="1"/>
        <v>4.4124999999999996</v>
      </c>
      <c r="S27" s="3">
        <f t="shared" si="2"/>
        <v>-0.16964285714285676</v>
      </c>
      <c r="T27" s="3">
        <f t="shared" si="3"/>
        <v>0.14631221344164302</v>
      </c>
      <c r="U27" s="3" t="str">
        <f t="shared" si="4"/>
        <v>No</v>
      </c>
      <c r="V27" s="3" t="str">
        <f t="shared" si="5"/>
        <v>-</v>
      </c>
    </row>
    <row r="28" spans="1:22" x14ac:dyDescent="0.3">
      <c r="A28" s="3" t="s">
        <v>46</v>
      </c>
      <c r="B28" s="3">
        <v>9.1999999999999993</v>
      </c>
      <c r="C28" s="3">
        <v>9.1</v>
      </c>
      <c r="D28" s="3">
        <v>9.1999999999999993</v>
      </c>
      <c r="E28" s="3">
        <v>9.4</v>
      </c>
      <c r="F28" s="3">
        <v>9.3000000000000007</v>
      </c>
      <c r="G28" s="3">
        <v>9.4</v>
      </c>
      <c r="H28" s="3">
        <v>10</v>
      </c>
      <c r="I28" s="3">
        <v>7.5</v>
      </c>
      <c r="J28" s="3">
        <v>7.6</v>
      </c>
      <c r="K28" s="3">
        <v>7.7</v>
      </c>
      <c r="L28" s="3">
        <v>7.9</v>
      </c>
      <c r="M28" s="3">
        <v>7.6</v>
      </c>
      <c r="N28" s="3">
        <v>7.7</v>
      </c>
      <c r="O28" s="3">
        <v>8.5</v>
      </c>
      <c r="P28" s="3">
        <v>8.3000000000000007</v>
      </c>
      <c r="Q28" s="3">
        <f t="shared" si="0"/>
        <v>9.3714285714285701</v>
      </c>
      <c r="R28" s="3">
        <f t="shared" si="1"/>
        <v>7.8500000000000014</v>
      </c>
      <c r="S28" s="3">
        <f t="shared" si="2"/>
        <v>1.5214285714285687</v>
      </c>
      <c r="T28" s="3">
        <f t="shared" si="3"/>
        <v>6.8667347297542201E-7</v>
      </c>
      <c r="U28" s="3" t="str">
        <f t="shared" si="4"/>
        <v>Yes</v>
      </c>
      <c r="V28" s="3" t="str">
        <f t="shared" si="5"/>
        <v>Up</v>
      </c>
    </row>
    <row r="29" spans="1:22" x14ac:dyDescent="0.3">
      <c r="A29" s="3" t="s">
        <v>47</v>
      </c>
      <c r="B29" s="3">
        <v>11.7</v>
      </c>
      <c r="C29" s="3">
        <v>11.7</v>
      </c>
      <c r="D29" s="3">
        <v>11.8</v>
      </c>
      <c r="E29" s="3">
        <v>11.7</v>
      </c>
      <c r="F29" s="3">
        <v>11.7</v>
      </c>
      <c r="G29" s="3">
        <v>11.8</v>
      </c>
      <c r="H29" s="3">
        <v>11.8</v>
      </c>
      <c r="I29" s="3">
        <v>12</v>
      </c>
      <c r="J29" s="3">
        <v>12</v>
      </c>
      <c r="K29" s="3">
        <v>12</v>
      </c>
      <c r="L29" s="3">
        <v>11.7</v>
      </c>
      <c r="M29" s="3">
        <v>11.6</v>
      </c>
      <c r="N29" s="3">
        <v>11.7</v>
      </c>
      <c r="O29" s="3">
        <v>11.8</v>
      </c>
      <c r="P29" s="3">
        <v>11.7</v>
      </c>
      <c r="Q29" s="3">
        <f t="shared" si="0"/>
        <v>11.742857142857144</v>
      </c>
      <c r="R29" s="3">
        <f t="shared" si="1"/>
        <v>11.8125</v>
      </c>
      <c r="S29" s="3">
        <f t="shared" si="2"/>
        <v>-6.9642857142856229E-2</v>
      </c>
      <c r="T29" s="3">
        <f t="shared" si="3"/>
        <v>0.2876656034015268</v>
      </c>
      <c r="U29" s="3" t="str">
        <f t="shared" si="4"/>
        <v>No</v>
      </c>
      <c r="V29" s="3" t="str">
        <f t="shared" si="5"/>
        <v>-</v>
      </c>
    </row>
    <row r="30" spans="1:22" x14ac:dyDescent="0.3">
      <c r="A30" s="3" t="s">
        <v>48</v>
      </c>
      <c r="B30" s="3">
        <v>9.4</v>
      </c>
      <c r="C30" s="3">
        <v>9.4</v>
      </c>
      <c r="D30" s="3">
        <v>9.5</v>
      </c>
      <c r="E30" s="3">
        <v>9.4</v>
      </c>
      <c r="F30" s="3">
        <v>9.3000000000000007</v>
      </c>
      <c r="G30" s="3">
        <v>9.4</v>
      </c>
      <c r="H30" s="3">
        <v>9.4</v>
      </c>
      <c r="I30" s="3">
        <v>9.6</v>
      </c>
      <c r="J30" s="3">
        <v>9.6999999999999993</v>
      </c>
      <c r="K30" s="3">
        <v>9.8000000000000007</v>
      </c>
      <c r="L30" s="3">
        <v>9.6</v>
      </c>
      <c r="M30" s="3">
        <v>9.5</v>
      </c>
      <c r="N30" s="3">
        <v>9.5</v>
      </c>
      <c r="O30" s="3">
        <v>9.6</v>
      </c>
      <c r="P30" s="3">
        <v>9.6</v>
      </c>
      <c r="Q30" s="3">
        <f t="shared" si="0"/>
        <v>9.4</v>
      </c>
      <c r="R30" s="3">
        <f t="shared" si="1"/>
        <v>9.6124999999999989</v>
      </c>
      <c r="S30" s="3">
        <f t="shared" si="2"/>
        <v>-0.21249999999999858</v>
      </c>
      <c r="T30" s="3">
        <f t="shared" si="3"/>
        <v>2.7927644405224708E-4</v>
      </c>
      <c r="U30" s="3" t="str">
        <f t="shared" si="4"/>
        <v>Yes</v>
      </c>
      <c r="V30" s="3" t="str">
        <f t="shared" si="5"/>
        <v>Down</v>
      </c>
    </row>
    <row r="31" spans="1:22" x14ac:dyDescent="0.3">
      <c r="A31" s="3" t="s">
        <v>49</v>
      </c>
      <c r="B31" s="3">
        <v>4.3</v>
      </c>
      <c r="C31" s="3">
        <v>4.3</v>
      </c>
      <c r="D31" s="3">
        <v>3.9</v>
      </c>
      <c r="E31" s="3">
        <v>4.2</v>
      </c>
      <c r="F31" s="3">
        <v>4</v>
      </c>
      <c r="G31" s="3">
        <v>4.0999999999999996</v>
      </c>
      <c r="H31" s="3">
        <v>4</v>
      </c>
      <c r="I31" s="3">
        <v>4.3</v>
      </c>
      <c r="J31" s="3">
        <v>4.3</v>
      </c>
      <c r="K31" s="3">
        <v>4.0999999999999996</v>
      </c>
      <c r="L31" s="3">
        <v>4.2</v>
      </c>
      <c r="M31" s="3">
        <v>4.0999999999999996</v>
      </c>
      <c r="N31" s="3">
        <v>4.2</v>
      </c>
      <c r="O31" s="3">
        <v>4.0999999999999996</v>
      </c>
      <c r="P31" s="3">
        <v>4</v>
      </c>
      <c r="Q31" s="3">
        <f t="shared" si="0"/>
        <v>4.1142857142857139</v>
      </c>
      <c r="R31" s="3">
        <f t="shared" si="1"/>
        <v>4.1624999999999996</v>
      </c>
      <c r="S31" s="3">
        <f t="shared" si="2"/>
        <v>-4.8214285714285765E-2</v>
      </c>
      <c r="T31" s="3">
        <f t="shared" si="3"/>
        <v>0.50799573072900106</v>
      </c>
      <c r="U31" s="3" t="str">
        <f t="shared" si="4"/>
        <v>No</v>
      </c>
      <c r="V31" s="3" t="str">
        <f t="shared" si="5"/>
        <v>-</v>
      </c>
    </row>
    <row r="32" spans="1:22" x14ac:dyDescent="0.3">
      <c r="A32" s="3" t="s">
        <v>50</v>
      </c>
      <c r="B32" s="3">
        <v>9.6999999999999993</v>
      </c>
      <c r="C32" s="3">
        <v>9.6</v>
      </c>
      <c r="D32" s="3">
        <v>9.6</v>
      </c>
      <c r="E32" s="3">
        <v>9.5</v>
      </c>
      <c r="F32" s="3">
        <v>9.5</v>
      </c>
      <c r="G32" s="3">
        <v>9.6</v>
      </c>
      <c r="H32" s="3">
        <v>9.6</v>
      </c>
      <c r="I32" s="3">
        <v>9.8000000000000007</v>
      </c>
      <c r="J32" s="3">
        <v>9.9</v>
      </c>
      <c r="K32" s="3">
        <v>10</v>
      </c>
      <c r="L32" s="3">
        <v>9.8000000000000007</v>
      </c>
      <c r="M32" s="3">
        <v>9.8000000000000007</v>
      </c>
      <c r="N32" s="3">
        <v>9.8000000000000007</v>
      </c>
      <c r="O32" s="3">
        <v>9.8000000000000007</v>
      </c>
      <c r="P32" s="3">
        <v>9.8000000000000007</v>
      </c>
      <c r="Q32" s="3">
        <f t="shared" si="0"/>
        <v>9.5857142857142854</v>
      </c>
      <c r="R32" s="3">
        <f t="shared" si="1"/>
        <v>9.8374999999999986</v>
      </c>
      <c r="S32" s="3">
        <f t="shared" si="2"/>
        <v>-0.25178571428571317</v>
      </c>
      <c r="T32" s="3">
        <f t="shared" si="3"/>
        <v>1.2993258894321523E-5</v>
      </c>
      <c r="U32" s="3" t="str">
        <f t="shared" si="4"/>
        <v>Yes</v>
      </c>
      <c r="V32" s="3" t="str">
        <f t="shared" si="5"/>
        <v>Down</v>
      </c>
    </row>
    <row r="33" spans="1:22" x14ac:dyDescent="0.3">
      <c r="A33" s="3" t="s">
        <v>51</v>
      </c>
      <c r="B33" s="3">
        <v>3.6</v>
      </c>
      <c r="C33" s="3">
        <v>3.5</v>
      </c>
      <c r="D33" s="3">
        <v>3.6</v>
      </c>
      <c r="E33" s="3">
        <v>3.2</v>
      </c>
      <c r="F33" s="3">
        <v>3.5</v>
      </c>
      <c r="G33" s="3">
        <v>3.5</v>
      </c>
      <c r="H33" s="3">
        <v>3.5</v>
      </c>
      <c r="I33" s="3">
        <v>3.7</v>
      </c>
      <c r="J33" s="3">
        <v>3.5</v>
      </c>
      <c r="K33" s="3">
        <v>3.5</v>
      </c>
      <c r="L33" s="3">
        <v>3.5</v>
      </c>
      <c r="M33" s="3">
        <v>3.4</v>
      </c>
      <c r="N33" s="3">
        <v>3.6</v>
      </c>
      <c r="O33" s="3">
        <v>3.2</v>
      </c>
      <c r="P33" s="3">
        <v>3.4</v>
      </c>
      <c r="Q33" s="3">
        <f t="shared" si="0"/>
        <v>3.4857142857142853</v>
      </c>
      <c r="R33" s="3">
        <f t="shared" si="1"/>
        <v>3.4749999999999996</v>
      </c>
      <c r="S33" s="3">
        <f t="shared" si="2"/>
        <v>1.0714285714285676E-2</v>
      </c>
      <c r="T33" s="3">
        <f t="shared" si="3"/>
        <v>0.88582221723531429</v>
      </c>
      <c r="U33" s="3" t="str">
        <f t="shared" si="4"/>
        <v>No</v>
      </c>
      <c r="V33" s="3" t="str">
        <f t="shared" si="5"/>
        <v>-</v>
      </c>
    </row>
    <row r="34" spans="1:22" x14ac:dyDescent="0.3">
      <c r="A34" s="3" t="s">
        <v>52</v>
      </c>
      <c r="B34" s="3">
        <v>4.0999999999999996</v>
      </c>
      <c r="C34" s="3">
        <v>4.3</v>
      </c>
      <c r="D34" s="3">
        <v>4</v>
      </c>
      <c r="E34" s="3">
        <v>3.9</v>
      </c>
      <c r="F34" s="3">
        <v>4.2</v>
      </c>
      <c r="G34" s="3">
        <v>4.0999999999999996</v>
      </c>
      <c r="H34" s="3">
        <v>4</v>
      </c>
      <c r="I34" s="3">
        <v>4.4000000000000004</v>
      </c>
      <c r="J34" s="3">
        <v>4.4000000000000004</v>
      </c>
      <c r="K34" s="3">
        <v>4.3</v>
      </c>
      <c r="L34" s="3">
        <v>4.5</v>
      </c>
      <c r="M34" s="3">
        <v>4.5</v>
      </c>
      <c r="N34" s="3">
        <v>4.5999999999999996</v>
      </c>
      <c r="O34" s="3">
        <v>4.7</v>
      </c>
      <c r="P34" s="3">
        <v>4.5999999999999996</v>
      </c>
      <c r="Q34" s="3">
        <f t="shared" si="0"/>
        <v>4.0857142857142845</v>
      </c>
      <c r="R34" s="3">
        <f t="shared" si="1"/>
        <v>4.5</v>
      </c>
      <c r="S34" s="3">
        <f t="shared" si="2"/>
        <v>-0.41428571428571548</v>
      </c>
      <c r="T34" s="3">
        <f t="shared" si="3"/>
        <v>4.8204380939431727E-5</v>
      </c>
      <c r="U34" s="3" t="str">
        <f t="shared" si="4"/>
        <v>Yes</v>
      </c>
      <c r="V34" s="3" t="str">
        <f t="shared" si="5"/>
        <v>Down</v>
      </c>
    </row>
    <row r="35" spans="1:22" x14ac:dyDescent="0.3">
      <c r="A35" s="3" t="s">
        <v>53</v>
      </c>
      <c r="B35" s="3">
        <v>4.4000000000000004</v>
      </c>
      <c r="C35" s="3">
        <v>4.5999999999999996</v>
      </c>
      <c r="D35" s="3">
        <v>4.5</v>
      </c>
      <c r="E35" s="3">
        <v>4.4000000000000004</v>
      </c>
      <c r="F35" s="3">
        <v>4.4000000000000004</v>
      </c>
      <c r="G35" s="3">
        <v>4.7</v>
      </c>
      <c r="H35" s="3">
        <v>4.7</v>
      </c>
      <c r="I35" s="3">
        <v>4.5999999999999996</v>
      </c>
      <c r="J35" s="3">
        <v>4.5999999999999996</v>
      </c>
      <c r="K35" s="3">
        <v>4.5</v>
      </c>
      <c r="L35" s="3">
        <v>4.5999999999999996</v>
      </c>
      <c r="M35" s="3">
        <v>4.4000000000000004</v>
      </c>
      <c r="N35" s="3">
        <v>4.5</v>
      </c>
      <c r="O35" s="3">
        <v>4.5999999999999996</v>
      </c>
      <c r="P35" s="3">
        <v>4.4000000000000004</v>
      </c>
      <c r="Q35" s="3">
        <f t="shared" si="0"/>
        <v>4.5285714285714276</v>
      </c>
      <c r="R35" s="3">
        <f t="shared" si="1"/>
        <v>4.5249999999999995</v>
      </c>
      <c r="S35" s="3">
        <f t="shared" si="2"/>
        <v>3.5714285714281147E-3</v>
      </c>
      <c r="T35" s="3">
        <f t="shared" si="3"/>
        <v>0.9543569830167451</v>
      </c>
      <c r="U35" s="3" t="str">
        <f t="shared" si="4"/>
        <v>No</v>
      </c>
      <c r="V35" s="3" t="str">
        <f t="shared" si="5"/>
        <v>-</v>
      </c>
    </row>
    <row r="36" spans="1:22" x14ac:dyDescent="0.3">
      <c r="A36" s="3" t="s">
        <v>54</v>
      </c>
      <c r="B36" s="3">
        <v>13.2</v>
      </c>
      <c r="C36" s="3">
        <v>13.2</v>
      </c>
      <c r="D36" s="3">
        <v>13.2</v>
      </c>
      <c r="E36" s="3">
        <v>13.2</v>
      </c>
      <c r="F36" s="3">
        <v>13.3</v>
      </c>
      <c r="G36" s="3">
        <v>13.3</v>
      </c>
      <c r="H36" s="3">
        <v>13.2</v>
      </c>
      <c r="I36" s="3">
        <v>12</v>
      </c>
      <c r="J36" s="3">
        <v>12</v>
      </c>
      <c r="K36" s="3">
        <v>12.1</v>
      </c>
      <c r="L36" s="3">
        <v>12.1</v>
      </c>
      <c r="M36" s="3">
        <v>12.2</v>
      </c>
      <c r="N36" s="3">
        <v>12.1</v>
      </c>
      <c r="O36" s="3">
        <v>12.1</v>
      </c>
      <c r="P36" s="3">
        <v>12.1</v>
      </c>
      <c r="Q36" s="3">
        <f t="shared" si="0"/>
        <v>13.228571428571428</v>
      </c>
      <c r="R36" s="3">
        <f t="shared" si="1"/>
        <v>12.087499999999999</v>
      </c>
      <c r="S36" s="3">
        <f t="shared" si="2"/>
        <v>1.1410714285714292</v>
      </c>
      <c r="T36" s="3">
        <f t="shared" si="3"/>
        <v>1.0823746826048991E-14</v>
      </c>
      <c r="U36" s="3" t="str">
        <f t="shared" si="4"/>
        <v>Yes</v>
      </c>
      <c r="V36" s="3" t="str">
        <f t="shared" si="5"/>
        <v>Up</v>
      </c>
    </row>
    <row r="37" spans="1:22" x14ac:dyDescent="0.3">
      <c r="A37" s="3" t="s">
        <v>55</v>
      </c>
      <c r="B37" s="3">
        <v>12.2</v>
      </c>
      <c r="C37" s="3">
        <v>12.2</v>
      </c>
      <c r="D37" s="3">
        <v>12.8</v>
      </c>
      <c r="E37" s="3">
        <v>12.2</v>
      </c>
      <c r="F37" s="3">
        <v>12.2</v>
      </c>
      <c r="G37" s="3">
        <v>12.2</v>
      </c>
      <c r="H37" s="3">
        <v>12.3</v>
      </c>
      <c r="I37" s="3">
        <v>12.2</v>
      </c>
      <c r="J37" s="3">
        <v>12.2</v>
      </c>
      <c r="K37" s="3">
        <v>12.2</v>
      </c>
      <c r="L37" s="3">
        <v>12.2</v>
      </c>
      <c r="M37" s="3">
        <v>12.3</v>
      </c>
      <c r="N37" s="3">
        <v>12.3</v>
      </c>
      <c r="O37" s="3">
        <v>12.3</v>
      </c>
      <c r="P37" s="3">
        <v>12.3</v>
      </c>
      <c r="Q37" s="3">
        <f t="shared" si="0"/>
        <v>12.3</v>
      </c>
      <c r="R37" s="3">
        <f t="shared" si="1"/>
        <v>12.249999999999998</v>
      </c>
      <c r="S37" s="3">
        <f t="shared" si="2"/>
        <v>5.0000000000002487E-2</v>
      </c>
      <c r="T37" s="3">
        <f t="shared" si="3"/>
        <v>0.58284835887892761</v>
      </c>
      <c r="U37" s="3" t="str">
        <f t="shared" si="4"/>
        <v>No</v>
      </c>
      <c r="V37" s="3" t="str">
        <f t="shared" si="5"/>
        <v>-</v>
      </c>
    </row>
    <row r="38" spans="1:22" x14ac:dyDescent="0.3">
      <c r="A38" s="3" t="s">
        <v>56</v>
      </c>
      <c r="B38" s="3">
        <v>6.4</v>
      </c>
      <c r="C38" s="3">
        <v>6.2</v>
      </c>
      <c r="D38" s="3">
        <v>6.4</v>
      </c>
      <c r="E38" s="3">
        <v>6.1</v>
      </c>
      <c r="F38" s="3">
        <v>5.6</v>
      </c>
      <c r="G38" s="3">
        <v>6</v>
      </c>
      <c r="H38" s="3">
        <v>6.6</v>
      </c>
      <c r="I38" s="3">
        <v>6.5</v>
      </c>
      <c r="J38" s="3">
        <v>6.8</v>
      </c>
      <c r="K38" s="3">
        <v>6.8</v>
      </c>
      <c r="L38" s="3">
        <v>6.4</v>
      </c>
      <c r="M38" s="3">
        <v>6.3</v>
      </c>
      <c r="N38" s="3">
        <v>6.2</v>
      </c>
      <c r="O38" s="3">
        <v>6.8</v>
      </c>
      <c r="P38" s="3">
        <v>6.8</v>
      </c>
      <c r="Q38" s="3">
        <f t="shared" si="0"/>
        <v>6.1857142857142859</v>
      </c>
      <c r="R38" s="3">
        <f t="shared" si="1"/>
        <v>6.5749999999999993</v>
      </c>
      <c r="S38" s="3">
        <f t="shared" si="2"/>
        <v>-0.38928571428571335</v>
      </c>
      <c r="T38" s="3">
        <f t="shared" si="3"/>
        <v>2.7199069363556098E-2</v>
      </c>
      <c r="U38" s="3" t="str">
        <f t="shared" si="4"/>
        <v>Yes</v>
      </c>
      <c r="V38" s="3" t="str">
        <f t="shared" si="5"/>
        <v>Down</v>
      </c>
    </row>
    <row r="39" spans="1:22" x14ac:dyDescent="0.3">
      <c r="A39" s="3" t="s">
        <v>57</v>
      </c>
      <c r="B39" s="3">
        <v>4.5999999999999996</v>
      </c>
      <c r="C39" s="3">
        <v>4.4000000000000004</v>
      </c>
      <c r="D39" s="3">
        <v>4.9000000000000004</v>
      </c>
      <c r="E39" s="3">
        <v>4.4000000000000004</v>
      </c>
      <c r="F39" s="3">
        <v>4.7</v>
      </c>
      <c r="G39" s="3">
        <v>4.7</v>
      </c>
      <c r="H39" s="3">
        <v>4.5999999999999996</v>
      </c>
      <c r="I39" s="3">
        <v>4.7</v>
      </c>
      <c r="J39" s="3">
        <v>4.4000000000000004</v>
      </c>
      <c r="K39" s="3">
        <v>4.5999999999999996</v>
      </c>
      <c r="L39" s="3">
        <v>4.7</v>
      </c>
      <c r="M39" s="3">
        <v>4.8</v>
      </c>
      <c r="N39" s="3">
        <v>4.5999999999999996</v>
      </c>
      <c r="O39" s="3">
        <v>4.7</v>
      </c>
      <c r="P39" s="3">
        <v>4.9000000000000004</v>
      </c>
      <c r="Q39" s="3">
        <f t="shared" si="0"/>
        <v>4.6142857142857139</v>
      </c>
      <c r="R39" s="3">
        <f t="shared" si="1"/>
        <v>4.6750000000000007</v>
      </c>
      <c r="S39" s="3">
        <f t="shared" si="2"/>
        <v>-6.0714285714286831E-2</v>
      </c>
      <c r="T39" s="3">
        <f t="shared" si="3"/>
        <v>0.48986936572275597</v>
      </c>
      <c r="U39" s="3" t="str">
        <f t="shared" si="4"/>
        <v>No</v>
      </c>
      <c r="V39" s="3" t="str">
        <f t="shared" si="5"/>
        <v>-</v>
      </c>
    </row>
    <row r="40" spans="1:22" x14ac:dyDescent="0.3">
      <c r="A40" s="3" t="s">
        <v>58</v>
      </c>
      <c r="B40" s="3">
        <v>11.7</v>
      </c>
      <c r="C40" s="3">
        <v>11.7</v>
      </c>
      <c r="D40" s="3">
        <v>11.7</v>
      </c>
      <c r="E40" s="3">
        <v>11.7</v>
      </c>
      <c r="F40" s="3">
        <v>11.7</v>
      </c>
      <c r="G40" s="3">
        <v>11.7</v>
      </c>
      <c r="H40" s="3">
        <v>12</v>
      </c>
      <c r="I40" s="3">
        <v>13.5</v>
      </c>
      <c r="J40" s="3">
        <v>13.5</v>
      </c>
      <c r="K40" s="3">
        <v>13.5</v>
      </c>
      <c r="L40" s="3">
        <v>13.4</v>
      </c>
      <c r="M40" s="3">
        <v>13.4</v>
      </c>
      <c r="N40" s="3">
        <v>13.4</v>
      </c>
      <c r="O40" s="3">
        <v>13.7</v>
      </c>
      <c r="P40" s="3">
        <v>13.6</v>
      </c>
      <c r="Q40" s="3">
        <f t="shared" si="0"/>
        <v>11.742857142857144</v>
      </c>
      <c r="R40" s="3">
        <f t="shared" si="1"/>
        <v>13.5</v>
      </c>
      <c r="S40" s="3">
        <f t="shared" si="2"/>
        <v>-1.7571428571428562</v>
      </c>
      <c r="T40" s="3">
        <f t="shared" si="3"/>
        <v>3.787217700104847E-13</v>
      </c>
      <c r="U40" s="3" t="str">
        <f t="shared" si="4"/>
        <v>Yes</v>
      </c>
      <c r="V40" s="3" t="str">
        <f t="shared" si="5"/>
        <v>Down</v>
      </c>
    </row>
    <row r="41" spans="1:22" x14ac:dyDescent="0.3">
      <c r="A41" s="3" t="s">
        <v>59</v>
      </c>
      <c r="B41" s="3">
        <v>3.6</v>
      </c>
      <c r="C41" s="3">
        <v>3.6</v>
      </c>
      <c r="D41" s="3">
        <v>3.6</v>
      </c>
      <c r="E41" s="3">
        <v>3.4</v>
      </c>
      <c r="F41" s="3">
        <v>3.8</v>
      </c>
      <c r="G41" s="3">
        <v>3.3</v>
      </c>
      <c r="H41" s="3">
        <v>3.7</v>
      </c>
      <c r="I41" s="3">
        <v>3.6</v>
      </c>
      <c r="J41" s="3">
        <v>3.5</v>
      </c>
      <c r="K41" s="3">
        <v>3.7</v>
      </c>
      <c r="L41" s="3">
        <v>3.5</v>
      </c>
      <c r="M41" s="3">
        <v>3.7</v>
      </c>
      <c r="N41" s="3">
        <v>3.4</v>
      </c>
      <c r="O41" s="3">
        <v>3.4</v>
      </c>
      <c r="P41" s="3">
        <v>3.5</v>
      </c>
      <c r="Q41" s="3">
        <f t="shared" si="0"/>
        <v>3.5714285714285716</v>
      </c>
      <c r="R41" s="3">
        <f t="shared" si="1"/>
        <v>3.5374999999999996</v>
      </c>
      <c r="S41" s="3">
        <f t="shared" si="2"/>
        <v>3.3928571428571974E-2</v>
      </c>
      <c r="T41" s="3">
        <f t="shared" si="3"/>
        <v>0.66795606510604388</v>
      </c>
      <c r="U41" s="3" t="str">
        <f t="shared" si="4"/>
        <v>No</v>
      </c>
      <c r="V41" s="3" t="str">
        <f>IF(T41&lt;0.05,IF(S41&gt;0,"Up","Down"),"-")</f>
        <v>-</v>
      </c>
    </row>
    <row r="44" spans="1:22" ht="15.6" x14ac:dyDescent="0.3">
      <c r="A44" s="4" t="s">
        <v>60</v>
      </c>
    </row>
    <row r="45" spans="1:22" x14ac:dyDescent="0.3">
      <c r="A45" s="5" t="s">
        <v>61</v>
      </c>
      <c r="B45" s="6">
        <f>COUNTA(A4:A41)</f>
        <v>38</v>
      </c>
    </row>
    <row r="46" spans="1:22" x14ac:dyDescent="0.3">
      <c r="A46" s="5" t="s">
        <v>62</v>
      </c>
      <c r="B46" s="6">
        <f>COUNTIF(U4:U41,"Yes")</f>
        <v>18</v>
      </c>
    </row>
    <row r="47" spans="1:22" x14ac:dyDescent="0.3">
      <c r="A47" s="5" t="s">
        <v>63</v>
      </c>
      <c r="B47" s="6">
        <f>COUNTIF(V4:V41,"Up")</f>
        <v>8</v>
      </c>
    </row>
    <row r="48" spans="1:22" x14ac:dyDescent="0.3">
      <c r="A48" s="5" t="s">
        <v>64</v>
      </c>
      <c r="B48" s="6">
        <f>COUNTIF(V4:V41,"Down")</f>
        <v>10</v>
      </c>
    </row>
    <row r="50" spans="1:1" x14ac:dyDescent="0.3">
      <c r="A50" s="6"/>
    </row>
    <row r="51" spans="1:1" x14ac:dyDescent="0.3">
      <c r="A51" s="5"/>
    </row>
    <row r="52" spans="1:1" x14ac:dyDescent="0.3">
      <c r="A52" s="7"/>
    </row>
    <row r="53" spans="1:1" x14ac:dyDescent="0.3">
      <c r="A53" s="5"/>
    </row>
    <row r="54" spans="1:1" x14ac:dyDescent="0.3">
      <c r="A54" s="5"/>
    </row>
    <row r="55" spans="1:1" x14ac:dyDescent="0.3">
      <c r="A55" s="5"/>
    </row>
    <row r="56" spans="1:1" x14ac:dyDescent="0.3">
      <c r="A56" s="5"/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2026-09-21T19:07:51Z</dcterms:created>
  <dcterms:modified xsi:type="dcterms:W3CDTF">2026-09-21T19:16:09Z</dcterms:modified>
  <dc:language>en-US</dc:language>
</cp:coreProperties>
</file>